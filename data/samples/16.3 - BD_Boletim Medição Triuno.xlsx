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210" documentId="13_ncr:1_{D089F14C-DDE0-4318-B542-0C6A83561EFE}" xr6:coauthVersionLast="47" xr6:coauthVersionMax="47" xr10:uidLastSave="{89D8FF9A-FABA-4195-9EB5-53086741BAED}"/>
  <bookViews>
    <workbookView xWindow="-120" yWindow="-120" windowWidth="20730" windowHeight="11040" tabRatio="500" firstSheet="2" activeTab="3" xr2:uid="{00000000-000D-0000-FFFF-FFFF00000000}"/>
  </bookViews>
  <sheets>
    <sheet name="MED 01" sheetId="7" r:id="rId1"/>
    <sheet name="MED 02" sheetId="9" r:id="rId2"/>
    <sheet name="MED 03" sheetId="10" r:id="rId3"/>
    <sheet name="MED 04" sheetId="11" r:id="rId4"/>
    <sheet name="Auxiliar" sheetId="8" r:id="rId5"/>
  </sheets>
  <definedNames>
    <definedName name="_xlnm.Print_Area" localSheetId="0">'MED 01'!$A$1:$N$25</definedName>
    <definedName name="_xlnm.Print_Area" localSheetId="1">'MED 02'!$A$1:$N$25</definedName>
    <definedName name="_xlnm.Print_Area" localSheetId="2">'MED 03'!$A$1:$N$25</definedName>
    <definedName name="_xlnm.Print_Area" localSheetId="3">'MED 04'!$A$1:$N$23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11" l="1"/>
  <c r="D65" i="8"/>
  <c r="C65" i="8"/>
  <c r="M21" i="11"/>
  <c r="G21" i="11"/>
  <c r="I10" i="11"/>
  <c r="G10" i="11"/>
  <c r="G12" i="11" s="1"/>
  <c r="B6" i="11"/>
  <c r="B5" i="11"/>
  <c r="D50" i="8"/>
  <c r="C50" i="8"/>
  <c r="M23" i="10"/>
  <c r="G23" i="10"/>
  <c r="K12" i="10"/>
  <c r="I12" i="10"/>
  <c r="J12" i="10" s="1"/>
  <c r="L12" i="10" s="1"/>
  <c r="G12" i="10"/>
  <c r="I11" i="10"/>
  <c r="G11" i="10"/>
  <c r="I10" i="10"/>
  <c r="G10" i="10"/>
  <c r="G14" i="10" s="1"/>
  <c r="B6" i="10"/>
  <c r="B5" i="10"/>
  <c r="M23" i="9"/>
  <c r="G23" i="9"/>
  <c r="K12" i="9"/>
  <c r="I12" i="9"/>
  <c r="J12" i="9" s="1"/>
  <c r="L12" i="9" s="1"/>
  <c r="G12" i="9"/>
  <c r="I11" i="9"/>
  <c r="G11" i="9"/>
  <c r="I10" i="9"/>
  <c r="G10" i="9"/>
  <c r="G14" i="9" s="1"/>
  <c r="B6" i="9"/>
  <c r="B5" i="9"/>
  <c r="D34" i="8"/>
  <c r="C34" i="8"/>
  <c r="D20" i="8"/>
  <c r="H11" i="7" s="1"/>
  <c r="C20" i="8"/>
  <c r="K11" i="7"/>
  <c r="I11" i="7"/>
  <c r="J11" i="7" s="1"/>
  <c r="G11" i="7"/>
  <c r="K10" i="7"/>
  <c r="I10" i="7"/>
  <c r="J10" i="7" s="1"/>
  <c r="L10" i="7" s="1"/>
  <c r="G10" i="7"/>
  <c r="B5" i="7"/>
  <c r="K12" i="7"/>
  <c r="H11" i="10" l="1"/>
  <c r="H10" i="10"/>
  <c r="K10" i="11"/>
  <c r="J10" i="11"/>
  <c r="H10" i="9"/>
  <c r="K10" i="9" s="1"/>
  <c r="K10" i="10"/>
  <c r="H11" i="9"/>
  <c r="K11" i="9" s="1"/>
  <c r="K11" i="10"/>
  <c r="J10" i="10"/>
  <c r="J11" i="10"/>
  <c r="L11" i="10" s="1"/>
  <c r="J10" i="9"/>
  <c r="L10" i="9"/>
  <c r="J11" i="9"/>
  <c r="L11" i="7"/>
  <c r="M23" i="7"/>
  <c r="G23" i="7"/>
  <c r="I12" i="7"/>
  <c r="J12" i="7" s="1"/>
  <c r="L12" i="7" s="1"/>
  <c r="G12" i="7"/>
  <c r="G14" i="7" s="1"/>
  <c r="B6" i="7"/>
  <c r="J12" i="11" l="1"/>
  <c r="G14" i="11" s="1"/>
  <c r="G23" i="11" s="1"/>
  <c r="L10" i="11"/>
  <c r="M12" i="11" s="1"/>
  <c r="J14" i="10"/>
  <c r="G16" i="10" s="1"/>
  <c r="G25" i="10" s="1"/>
  <c r="L10" i="10"/>
  <c r="M14" i="10" s="1"/>
  <c r="L11" i="9"/>
  <c r="J14" i="9"/>
  <c r="G16" i="9" s="1"/>
  <c r="G25" i="9" s="1"/>
  <c r="M14" i="9"/>
  <c r="M14" i="7"/>
  <c r="J14" i="7"/>
  <c r="G16" i="7" s="1"/>
  <c r="G25" i="7" s="1"/>
  <c r="J23" i="7" s="1"/>
  <c r="J21" i="11" l="1"/>
  <c r="J23" i="10"/>
  <c r="J23" i="9"/>
  <c r="J17" i="7"/>
  <c r="J17" i="9" l="1"/>
  <c r="J17" i="10"/>
  <c r="J15" i="11"/>
  <c r="J23" i="11"/>
  <c r="M23" i="11" s="1"/>
  <c r="J25" i="10"/>
  <c r="M25" i="10" s="1"/>
  <c r="J25" i="9"/>
  <c r="M25" i="9" s="1"/>
  <c r="J25" i="7"/>
  <c r="M25" i="7" s="1"/>
</calcChain>
</file>

<file path=xl/sharedStrings.xml><?xml version="1.0" encoding="utf-8"?>
<sst xmlns="http://schemas.openxmlformats.org/spreadsheetml/2006/main" count="218" uniqueCount="57">
  <si>
    <t>OBRA: FKR-018 - RIL</t>
  </si>
  <si>
    <t xml:space="preserve">FORNECEDOR: </t>
  </si>
  <si>
    <t>TRIUNO INSTALAÇÕES LTDA</t>
  </si>
  <si>
    <t>PLANILHA DE MEDIÇÃO DE SERVIÇOS - CONTRATUAL</t>
  </si>
  <si>
    <t>PERÍODO MEDIÇÃO</t>
  </si>
  <si>
    <t>BM-Nº</t>
  </si>
  <si>
    <t>DE 05/02/2026 a 23/02/2026</t>
  </si>
  <si>
    <t>VENCIMENTO</t>
  </si>
  <si>
    <t>01/03/2026</t>
  </si>
  <si>
    <t>ITEM</t>
  </si>
  <si>
    <t xml:space="preserve">1BN </t>
  </si>
  <si>
    <t>CONTRATUAL</t>
  </si>
  <si>
    <t>ESTA MEDIÇÃO</t>
  </si>
  <si>
    <t>ACUMULADO ATUAL</t>
  </si>
  <si>
    <t>SALDO À MEDIR</t>
  </si>
  <si>
    <t>%</t>
  </si>
  <si>
    <t>Qtde</t>
  </si>
  <si>
    <t>VALOR UNITÁRIO</t>
  </si>
  <si>
    <t>VALOR TOTAL</t>
  </si>
  <si>
    <t>TOTAL CONTRATUAL</t>
  </si>
  <si>
    <t>TOTAL DESTA MEDIÇÃO</t>
  </si>
  <si>
    <t>TOTAL ACUMULADO ANTERIOR</t>
  </si>
  <si>
    <t>SALDO</t>
  </si>
  <si>
    <t>DIÁRIA DA DUPLA</t>
  </si>
  <si>
    <t>DIA</t>
  </si>
  <si>
    <t xml:space="preserve">DIÁRIA DE AJUDANTE </t>
  </si>
  <si>
    <t>T. ACUM. ATUAL</t>
  </si>
  <si>
    <t>FATURAMENTO DIRETO</t>
  </si>
  <si>
    <t>RETENÇÃO CONTRATUAL - 5%</t>
  </si>
  <si>
    <t>RETENÇÃO IMPOSTOS</t>
  </si>
  <si>
    <t>FORNECEDOR/PRODUTO</t>
  </si>
  <si>
    <t>NF/QUANTIDADE</t>
  </si>
  <si>
    <t>VALOR</t>
  </si>
  <si>
    <t>ACUMULADA, INC. ESTA</t>
  </si>
  <si>
    <t>VALOR  FAT. DIRETO</t>
  </si>
  <si>
    <t>VALOR RETENÇÃO TÉCNICA</t>
  </si>
  <si>
    <t>VALOR RETENÇÃO IMPOSTOS</t>
  </si>
  <si>
    <t>FARKAS CONSTRUTORA</t>
  </si>
  <si>
    <t>VALOR - FAT. DIRETO</t>
  </si>
  <si>
    <t>VALOR - RETENÇÃO</t>
  </si>
  <si>
    <t>VALOR NF A SER EMITIDA</t>
  </si>
  <si>
    <t xml:space="preserve">DIÁRIA DE ELETRICISTA </t>
  </si>
  <si>
    <t>DIÁRIA DE BOMBEIRO</t>
  </si>
  <si>
    <t>DE 09/03/2026 a 23/03/2026</t>
  </si>
  <si>
    <t>30/03/2026</t>
  </si>
  <si>
    <t>DE 24/03/2026 a 07/04/2026</t>
  </si>
  <si>
    <t>15/04/2024</t>
  </si>
  <si>
    <t>DIÁRIAS TRIUNO-28/02</t>
  </si>
  <si>
    <t> </t>
  </si>
  <si>
    <t>OFICIAL + AJUDANTE</t>
  </si>
  <si>
    <t>AJUDANTE</t>
  </si>
  <si>
    <t>TOTAL</t>
  </si>
  <si>
    <t>DIÁRIAS TRIUNO-24/02 A 06/03</t>
  </si>
  <si>
    <t>ELETRICISTA</t>
  </si>
  <si>
    <t>BOMBEIRO</t>
  </si>
  <si>
    <t>DIÁRIAS TRIUNO-09/03 A 23/03</t>
  </si>
  <si>
    <t>DIÁRIAS TRIUNO-24/03 A 07/04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</si>
</sst>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"/>
    <numFmt numFmtId="165" formatCode="d/m/yyyy"/>
    <numFmt numFmtId="166" formatCode="_-&quot;R$ &quot;* #,##0.00_-;&quot;-R$ &quot;* #,##0.00_-;_-&quot;R$ &quot;* \-??_-;_-@_-"/>
    <numFmt numFmtId="167" formatCode="_(* #,##0.00_);_(* \(#,##0.00\);_(* \-??_);_(@_)"/>
    <numFmt numFmtId="168" formatCode="#,##0.00_);\(#,##0.00\)"/>
  </numFmts>
  <fonts count="12">
    <font>
      <sz val="11"/>
      <color rgb="FF000000"/>
      <name val="Calibri"/>
      <charset val="1"/>
    </font>
    <font>
      <sz val="14"/>
      <name val="Arial Black"/>
      <family val="2"/>
      <charset val="1"/>
    </font>
    <font>
      <b/>
      <sz val="14"/>
      <name val="Arial Black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 Black"/>
      <family val="2"/>
      <charset val="1"/>
    </font>
    <font>
      <sz val="10"/>
      <name val="Arial Black"/>
      <family val="2"/>
      <charset val="1"/>
    </font>
    <font>
      <sz val="10"/>
      <name val="Calibri"/>
      <family val="2"/>
      <charset val="1"/>
    </font>
    <font>
      <sz val="11"/>
      <name val="Arial Black"/>
      <family val="2"/>
      <charset val="1"/>
    </font>
    <font>
      <b/>
      <sz val="11"/>
      <name val="Arial Black"/>
      <family val="2"/>
      <charset val="1"/>
    </font>
    <font>
      <sz val="11"/>
      <color rgb="FF000000"/>
      <name val="Arial Black"/>
      <family val="2"/>
      <charset val="1"/>
    </font>
    <font>
      <sz val="10"/>
      <color rgb="FF000000"/>
      <name val="Arial Black"/>
      <family val="2"/>
      <charset val="1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5E0B3"/>
        <bgColor rgb="FFC5E0B4"/>
      </patternFill>
    </fill>
    <fill>
      <patternFill patternType="solid">
        <fgColor rgb="FFFFFFFF"/>
        <bgColor rgb="FFE2F0D9"/>
      </patternFill>
    </fill>
    <fill>
      <patternFill patternType="solid">
        <fgColor rgb="FFA8D08D"/>
        <bgColor rgb="FFA9D18E"/>
      </patternFill>
    </fill>
    <fill>
      <patternFill patternType="solid">
        <fgColor rgb="FFE2EFD9"/>
        <bgColor rgb="FFE2F0D9"/>
      </patternFill>
    </fill>
    <fill>
      <patternFill patternType="solid">
        <fgColor rgb="FFA9D18E"/>
        <bgColor rgb="FFA8D08D"/>
      </patternFill>
    </fill>
    <fill>
      <patternFill patternType="solid">
        <fgColor rgb="FFC5E0B4"/>
        <bgColor rgb="FFC5E0B3"/>
      </patternFill>
    </fill>
    <fill>
      <patternFill patternType="solid">
        <fgColor rgb="FFE2F0D9"/>
        <bgColor rgb="FFE2EFD9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rgb="FF000000"/>
      </left>
      <right style="dotted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166" fontId="11" fillId="0" borderId="0" applyBorder="0" applyProtection="0"/>
  </cellStyleXfs>
  <cellXfs count="18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3" fillId="3" borderId="0" xfId="0" applyFont="1" applyFill="1"/>
    <xf numFmtId="0" fontId="3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10" fontId="1" fillId="2" borderId="0" xfId="0" applyNumberFormat="1" applyFont="1" applyFill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164" fontId="4" fillId="2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0" fillId="3" borderId="0" xfId="0" applyFill="1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6" fillId="0" borderId="15" xfId="0" applyFont="1" applyBorder="1"/>
    <xf numFmtId="0" fontId="4" fillId="4" borderId="18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left" vertical="center" wrapText="1"/>
    </xf>
    <xf numFmtId="4" fontId="7" fillId="5" borderId="21" xfId="0" applyNumberFormat="1" applyFont="1" applyFill="1" applyBorder="1" applyAlignment="1">
      <alignment horizontal="center" vertical="center"/>
    </xf>
    <xf numFmtId="166" fontId="8" fillId="5" borderId="19" xfId="1" applyFont="1" applyFill="1" applyBorder="1" applyAlignment="1" applyProtection="1">
      <alignment horizontal="center" vertical="center"/>
    </xf>
    <xf numFmtId="166" fontId="7" fillId="3" borderId="21" xfId="1" applyFont="1" applyFill="1" applyBorder="1" applyAlignment="1" applyProtection="1">
      <alignment horizontal="center" vertical="center"/>
    </xf>
    <xf numFmtId="0" fontId="7" fillId="5" borderId="22" xfId="0" applyFont="1" applyFill="1" applyBorder="1" applyAlignment="1">
      <alignment vertical="center"/>
    </xf>
    <xf numFmtId="166" fontId="7" fillId="3" borderId="23" xfId="1" applyFont="1" applyFill="1" applyBorder="1" applyAlignment="1" applyProtection="1">
      <alignment vertical="center"/>
    </xf>
    <xf numFmtId="2" fontId="7" fillId="3" borderId="22" xfId="0" applyNumberFormat="1" applyFont="1" applyFill="1" applyBorder="1" applyAlignment="1">
      <alignment vertical="center"/>
    </xf>
    <xf numFmtId="166" fontId="7" fillId="3" borderId="21" xfId="1" applyFont="1" applyFill="1" applyBorder="1" applyAlignment="1" applyProtection="1">
      <alignment vertical="center"/>
    </xf>
    <xf numFmtId="167" fontId="7" fillId="3" borderId="24" xfId="0" applyNumberFormat="1" applyFont="1" applyFill="1" applyBorder="1" applyAlignment="1">
      <alignment vertical="center"/>
    </xf>
    <xf numFmtId="10" fontId="7" fillId="3" borderId="23" xfId="0" applyNumberFormat="1" applyFont="1" applyFill="1" applyBorder="1" applyAlignment="1">
      <alignment vertical="center"/>
    </xf>
    <xf numFmtId="167" fontId="7" fillId="5" borderId="21" xfId="0" applyNumberFormat="1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167" fontId="8" fillId="3" borderId="19" xfId="0" applyNumberFormat="1" applyFont="1" applyFill="1" applyBorder="1" applyAlignment="1">
      <alignment vertical="center"/>
    </xf>
    <xf numFmtId="167" fontId="7" fillId="5" borderId="29" xfId="0" applyNumberFormat="1" applyFont="1" applyFill="1" applyBorder="1" applyAlignment="1">
      <alignment vertical="center"/>
    </xf>
    <xf numFmtId="167" fontId="7" fillId="3" borderId="27" xfId="0" applyNumberFormat="1" applyFont="1" applyFill="1" applyBorder="1" applyAlignment="1">
      <alignment vertical="center"/>
    </xf>
    <xf numFmtId="167" fontId="7" fillId="3" borderId="30" xfId="0" applyNumberFormat="1" applyFont="1" applyFill="1" applyBorder="1" applyAlignment="1">
      <alignment vertical="center"/>
    </xf>
    <xf numFmtId="0" fontId="7" fillId="5" borderId="21" xfId="0" applyFont="1" applyFill="1" applyBorder="1" applyAlignment="1">
      <alignment horizontal="left" vertical="center" wrapText="1"/>
    </xf>
    <xf numFmtId="167" fontId="8" fillId="5" borderId="27" xfId="0" applyNumberFormat="1" applyFont="1" applyFill="1" applyBorder="1" applyAlignment="1">
      <alignment horizontal="center" vertical="center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vertical="center"/>
    </xf>
    <xf numFmtId="2" fontId="7" fillId="0" borderId="29" xfId="0" applyNumberFormat="1" applyFont="1" applyBorder="1" applyAlignment="1">
      <alignment vertical="center"/>
    </xf>
    <xf numFmtId="167" fontId="7" fillId="3" borderId="31" xfId="0" applyNumberFormat="1" applyFont="1" applyFill="1" applyBorder="1" applyAlignment="1">
      <alignment vertical="center"/>
    </xf>
    <xf numFmtId="10" fontId="7" fillId="3" borderId="32" xfId="0" applyNumberFormat="1" applyFont="1" applyFill="1" applyBorder="1" applyAlignment="1">
      <alignment vertical="center"/>
    </xf>
    <xf numFmtId="168" fontId="8" fillId="4" borderId="7" xfId="0" applyNumberFormat="1" applyFont="1" applyFill="1" applyBorder="1" applyAlignment="1">
      <alignment vertical="center"/>
    </xf>
    <xf numFmtId="168" fontId="8" fillId="4" borderId="8" xfId="0" applyNumberFormat="1" applyFont="1" applyFill="1" applyBorder="1" applyAlignment="1">
      <alignment vertical="center"/>
    </xf>
    <xf numFmtId="166" fontId="8" fillId="4" borderId="10" xfId="1" applyFont="1" applyFill="1" applyBorder="1" applyAlignment="1" applyProtection="1">
      <alignment vertical="center"/>
    </xf>
    <xf numFmtId="2" fontId="8" fillId="4" borderId="7" xfId="0" applyNumberFormat="1" applyFont="1" applyFill="1" applyBorder="1" applyAlignment="1">
      <alignment vertical="center"/>
    </xf>
    <xf numFmtId="167" fontId="8" fillId="4" borderId="10" xfId="0" applyNumberFormat="1" applyFont="1" applyFill="1" applyBorder="1" applyAlignment="1">
      <alignment vertical="center"/>
    </xf>
    <xf numFmtId="166" fontId="8" fillId="4" borderId="9" xfId="1" applyFont="1" applyFill="1" applyBorder="1" applyAlignment="1" applyProtection="1">
      <alignment vertical="center"/>
    </xf>
    <xf numFmtId="167" fontId="8" fillId="4" borderId="9" xfId="0" applyNumberFormat="1" applyFont="1" applyFill="1" applyBorder="1" applyAlignment="1">
      <alignment vertical="center"/>
    </xf>
    <xf numFmtId="9" fontId="8" fillId="4" borderId="10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10" fontId="5" fillId="3" borderId="0" xfId="0" applyNumberFormat="1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167" fontId="5" fillId="6" borderId="10" xfId="0" applyNumberFormat="1" applyFont="1" applyFill="1" applyBorder="1" applyAlignment="1">
      <alignment vertical="center"/>
    </xf>
    <xf numFmtId="0" fontId="10" fillId="7" borderId="9" xfId="0" applyFont="1" applyFill="1" applyBorder="1" applyAlignment="1">
      <alignment horizontal="center" vertical="center"/>
    </xf>
    <xf numFmtId="167" fontId="5" fillId="7" borderId="8" xfId="0" applyNumberFormat="1" applyFont="1" applyFill="1" applyBorder="1" applyAlignment="1">
      <alignment horizontal="center" vertical="center"/>
    </xf>
    <xf numFmtId="167" fontId="5" fillId="7" borderId="10" xfId="0" applyNumberFormat="1" applyFont="1" applyFill="1" applyBorder="1" applyAlignment="1">
      <alignment horizontal="center" vertical="center"/>
    </xf>
    <xf numFmtId="167" fontId="5" fillId="7" borderId="10" xfId="0" applyNumberFormat="1" applyFont="1" applyFill="1" applyBorder="1" applyAlignment="1">
      <alignment vertical="center"/>
    </xf>
    <xf numFmtId="0" fontId="5" fillId="3" borderId="19" xfId="0" applyFont="1" applyFill="1" applyBorder="1" applyAlignment="1">
      <alignment horizontal="left" vertical="center" wrapText="1"/>
    </xf>
    <xf numFmtId="167" fontId="5" fillId="3" borderId="33" xfId="0" applyNumberFormat="1" applyFont="1" applyFill="1" applyBorder="1" applyAlignment="1">
      <alignment vertical="center"/>
    </xf>
    <xf numFmtId="167" fontId="5" fillId="3" borderId="34" xfId="0" applyNumberFormat="1" applyFont="1" applyFill="1" applyBorder="1" applyAlignment="1">
      <alignment vertical="center"/>
    </xf>
    <xf numFmtId="2" fontId="5" fillId="3" borderId="35" xfId="0" applyNumberFormat="1" applyFont="1" applyFill="1" applyBorder="1" applyAlignment="1">
      <alignment vertical="center"/>
    </xf>
    <xf numFmtId="10" fontId="5" fillId="3" borderId="36" xfId="0" applyNumberFormat="1" applyFont="1" applyFill="1" applyBorder="1" applyAlignment="1">
      <alignment vertical="center"/>
    </xf>
    <xf numFmtId="167" fontId="5" fillId="3" borderId="37" xfId="0" applyNumberFormat="1" applyFont="1" applyFill="1" applyBorder="1" applyAlignment="1">
      <alignment vertical="center"/>
    </xf>
    <xf numFmtId="2" fontId="5" fillId="3" borderId="16" xfId="0" applyNumberFormat="1" applyFont="1" applyFill="1" applyBorder="1" applyAlignment="1">
      <alignment vertical="center"/>
    </xf>
    <xf numFmtId="167" fontId="5" fillId="3" borderId="38" xfId="0" applyNumberFormat="1" applyFont="1" applyFill="1" applyBorder="1" applyAlignment="1">
      <alignment vertical="center"/>
    </xf>
    <xf numFmtId="167" fontId="5" fillId="3" borderId="39" xfId="0" applyNumberFormat="1" applyFont="1" applyFill="1" applyBorder="1" applyAlignment="1">
      <alignment vertical="center"/>
    </xf>
    <xf numFmtId="2" fontId="5" fillId="3" borderId="33" xfId="0" applyNumberFormat="1" applyFont="1" applyFill="1" applyBorder="1" applyAlignment="1">
      <alignment vertical="center"/>
    </xf>
    <xf numFmtId="10" fontId="5" fillId="3" borderId="24" xfId="0" applyNumberFormat="1" applyFont="1" applyFill="1" applyBorder="1" applyAlignment="1">
      <alignment vertical="center"/>
    </xf>
    <xf numFmtId="167" fontId="5" fillId="3" borderId="25" xfId="0" applyNumberFormat="1" applyFont="1" applyFill="1" applyBorder="1" applyAlignment="1">
      <alignment vertical="center"/>
    </xf>
    <xf numFmtId="2" fontId="5" fillId="3" borderId="40" xfId="0" applyNumberFormat="1" applyFont="1" applyFill="1" applyBorder="1" applyAlignment="1">
      <alignment vertical="center"/>
    </xf>
    <xf numFmtId="2" fontId="5" fillId="3" borderId="38" xfId="0" applyNumberFormat="1" applyFont="1" applyFill="1" applyBorder="1" applyAlignment="1">
      <alignment vertical="center"/>
    </xf>
    <xf numFmtId="10" fontId="5" fillId="3" borderId="26" xfId="0" applyNumberFormat="1" applyFont="1" applyFill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left" vertical="center" wrapText="1"/>
    </xf>
    <xf numFmtId="0" fontId="10" fillId="8" borderId="13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left" vertical="center" wrapText="1"/>
    </xf>
    <xf numFmtId="0" fontId="5" fillId="8" borderId="17" xfId="0" applyFont="1" applyFill="1" applyBorder="1" applyAlignment="1">
      <alignment horizontal="center" vertical="center" wrapText="1"/>
    </xf>
    <xf numFmtId="167" fontId="5" fillId="8" borderId="8" xfId="0" applyNumberFormat="1" applyFont="1" applyFill="1" applyBorder="1" applyAlignment="1">
      <alignment horizontal="center" vertical="center"/>
    </xf>
    <xf numFmtId="166" fontId="5" fillId="8" borderId="10" xfId="1" applyFont="1" applyFill="1" applyBorder="1" applyAlignment="1" applyProtection="1">
      <alignment vertical="center"/>
    </xf>
    <xf numFmtId="166" fontId="5" fillId="8" borderId="8" xfId="1" applyFont="1" applyFill="1" applyBorder="1" applyAlignment="1" applyProtection="1">
      <alignment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43" xfId="0" applyFont="1" applyFill="1" applyBorder="1" applyAlignment="1">
      <alignment vertical="center" wrapText="1"/>
    </xf>
    <xf numFmtId="0" fontId="5" fillId="3" borderId="44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/>
    </xf>
    <xf numFmtId="167" fontId="5" fillId="3" borderId="5" xfId="0" applyNumberFormat="1" applyFont="1" applyFill="1" applyBorder="1" applyAlignment="1">
      <alignment vertical="center"/>
    </xf>
    <xf numFmtId="167" fontId="5" fillId="3" borderId="4" xfId="0" applyNumberFormat="1" applyFont="1" applyFill="1" applyBorder="1" applyAlignment="1">
      <alignment vertical="center"/>
    </xf>
    <xf numFmtId="167" fontId="5" fillId="3" borderId="0" xfId="0" applyNumberFormat="1" applyFont="1" applyFill="1" applyAlignment="1">
      <alignment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vertical="center"/>
    </xf>
    <xf numFmtId="166" fontId="5" fillId="6" borderId="10" xfId="1" applyFont="1" applyFill="1" applyBorder="1" applyAlignment="1" applyProtection="1">
      <alignment vertical="center"/>
    </xf>
    <xf numFmtId="49" fontId="4" fillId="2" borderId="16" xfId="0" applyNumberFormat="1" applyFont="1" applyFill="1" applyBorder="1" applyAlignment="1">
      <alignment horizontal="right" vertical="center"/>
    </xf>
    <xf numFmtId="167" fontId="7" fillId="0" borderId="31" xfId="0" applyNumberFormat="1" applyFont="1" applyBorder="1" applyAlignment="1">
      <alignment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8" fillId="5" borderId="47" xfId="0" applyFont="1" applyFill="1" applyBorder="1" applyAlignment="1">
      <alignment horizontal="center" vertical="center"/>
    </xf>
    <xf numFmtId="167" fontId="8" fillId="3" borderId="47" xfId="0" applyNumberFormat="1" applyFont="1" applyFill="1" applyBorder="1" applyAlignment="1">
      <alignment vertical="center"/>
    </xf>
    <xf numFmtId="166" fontId="8" fillId="3" borderId="47" xfId="1" applyFont="1" applyFill="1" applyBorder="1" applyAlignment="1" applyProtection="1">
      <alignment vertical="center"/>
    </xf>
    <xf numFmtId="0" fontId="8" fillId="5" borderId="19" xfId="0" applyFont="1" applyFill="1" applyBorder="1" applyAlignment="1">
      <alignment horizontal="center" vertical="center"/>
    </xf>
    <xf numFmtId="166" fontId="8" fillId="3" borderId="19" xfId="1" applyFont="1" applyFill="1" applyBorder="1" applyAlignment="1" applyProtection="1">
      <alignment vertical="center"/>
    </xf>
    <xf numFmtId="167" fontId="5" fillId="3" borderId="48" xfId="0" applyNumberFormat="1" applyFont="1" applyFill="1" applyBorder="1" applyAlignment="1">
      <alignment vertical="center"/>
    </xf>
    <xf numFmtId="166" fontId="5" fillId="6" borderId="8" xfId="1" applyFont="1" applyFill="1" applyBorder="1" applyAlignment="1" applyProtection="1">
      <alignment vertical="center"/>
    </xf>
    <xf numFmtId="2" fontId="7" fillId="8" borderId="7" xfId="0" applyNumberFormat="1" applyFont="1" applyFill="1" applyBorder="1" applyAlignment="1">
      <alignment vertical="center"/>
    </xf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11" fillId="0" borderId="54" xfId="0" applyFont="1" applyBorder="1"/>
    <xf numFmtId="0" fontId="11" fillId="0" borderId="55" xfId="0" applyFont="1" applyBorder="1"/>
    <xf numFmtId="14" fontId="0" fillId="0" borderId="53" xfId="0" applyNumberFormat="1" applyBorder="1"/>
    <xf numFmtId="14" fontId="0" fillId="0" borderId="56" xfId="0" applyNumberFormat="1" applyBorder="1"/>
    <xf numFmtId="0" fontId="11" fillId="0" borderId="57" xfId="0" applyFont="1" applyBorder="1"/>
    <xf numFmtId="0" fontId="0" fillId="0" borderId="58" xfId="0" applyBorder="1"/>
    <xf numFmtId="14" fontId="0" fillId="0" borderId="63" xfId="0" applyNumberFormat="1" applyBorder="1"/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0" fontId="4" fillId="2" borderId="9" xfId="0" applyNumberFormat="1" applyFon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59" xfId="0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60" xfId="0" applyFont="1" applyFill="1" applyBorder="1" applyAlignment="1">
      <alignment horizontal="center" vertical="center" wrapText="1"/>
    </xf>
    <xf numFmtId="4" fontId="4" fillId="4" borderId="9" xfId="0" applyNumberFormat="1" applyFont="1" applyFill="1" applyBorder="1" applyAlignment="1">
      <alignment horizontal="center" vertical="center" wrapText="1"/>
    </xf>
    <xf numFmtId="10" fontId="4" fillId="4" borderId="9" xfId="0" applyNumberFormat="1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 wrapText="1"/>
    </xf>
    <xf numFmtId="0" fontId="4" fillId="4" borderId="62" xfId="0" applyFont="1" applyFill="1" applyBorder="1" applyAlignment="1">
      <alignment horizontal="center" vertical="center" wrapText="1"/>
    </xf>
    <xf numFmtId="10" fontId="4" fillId="4" borderId="13" xfId="0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 wrapText="1"/>
    </xf>
    <xf numFmtId="167" fontId="8" fillId="4" borderId="10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10" fontId="5" fillId="6" borderId="9" xfId="0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 wrapText="1"/>
    </xf>
    <xf numFmtId="166" fontId="5" fillId="3" borderId="27" xfId="1" applyFont="1" applyFill="1" applyBorder="1" applyAlignment="1" applyProtection="1">
      <alignment horizontal="center" vertical="center"/>
    </xf>
    <xf numFmtId="167" fontId="5" fillId="3" borderId="41" xfId="0" applyNumberFormat="1" applyFont="1" applyFill="1" applyBorder="1" applyAlignment="1">
      <alignment horizontal="center" vertical="center"/>
    </xf>
    <xf numFmtId="167" fontId="5" fillId="3" borderId="49" xfId="0" applyNumberFormat="1" applyFont="1" applyFill="1" applyBorder="1" applyAlignment="1">
      <alignment horizontal="center" vertical="center"/>
    </xf>
    <xf numFmtId="2" fontId="5" fillId="3" borderId="29" xfId="0" applyNumberFormat="1" applyFont="1" applyFill="1" applyBorder="1" applyAlignment="1">
      <alignment horizontal="center" vertical="center"/>
    </xf>
    <xf numFmtId="2" fontId="5" fillId="3" borderId="41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167" fontId="5" fillId="7" borderId="7" xfId="0" applyNumberFormat="1" applyFont="1" applyFill="1" applyBorder="1" applyAlignment="1">
      <alignment horizontal="center" vertical="center"/>
    </xf>
    <xf numFmtId="2" fontId="5" fillId="7" borderId="10" xfId="0" applyNumberFormat="1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166" fontId="5" fillId="3" borderId="23" xfId="1" applyFont="1" applyFill="1" applyBorder="1" applyAlignment="1" applyProtection="1">
      <alignment horizontal="center" vertical="center"/>
    </xf>
    <xf numFmtId="0" fontId="10" fillId="3" borderId="21" xfId="0" applyFont="1" applyFill="1" applyBorder="1" applyAlignment="1">
      <alignment horizontal="center" vertical="center" wrapText="1"/>
    </xf>
    <xf numFmtId="166" fontId="10" fillId="3" borderId="23" xfId="1" applyFont="1" applyFill="1" applyBorder="1" applyAlignment="1" applyProtection="1">
      <alignment horizontal="center"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7" fillId="8" borderId="7" xfId="0" applyNumberFormat="1" applyFont="1" applyFill="1" applyBorder="1" applyAlignment="1">
      <alignment horizontal="center" vertical="center"/>
    </xf>
    <xf numFmtId="166" fontId="5" fillId="8" borderId="10" xfId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10" fontId="5" fillId="6" borderId="7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166" fontId="5" fillId="6" borderId="46" xfId="1" applyFont="1" applyFill="1" applyBorder="1" applyAlignment="1" applyProtection="1">
      <alignment horizontal="center" vertical="center"/>
    </xf>
    <xf numFmtId="0" fontId="0" fillId="0" borderId="50" xfId="0" applyBorder="1" applyAlignment="1"/>
    <xf numFmtId="0" fontId="0" fillId="0" borderId="51" xfId="0" applyBorder="1" applyAlignment="1"/>
    <xf numFmtId="0" fontId="0" fillId="0" borderId="52" xfId="0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E2EFD9"/>
      <rgbColor rgb="FFC5E0B3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8D08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E2D3-CE35-495F-9776-2FB4EDA53B2B}">
  <sheetPr codeName="Planilha5">
    <pageSetUpPr fitToPage="1"/>
  </sheetPr>
  <dimension ref="A1:AW854"/>
  <sheetViews>
    <sheetView topLeftCell="B1" zoomScale="55" zoomScaleNormal="55" workbookViewId="0">
      <selection activeCell="E12" sqref="E12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32" t="s">
        <v>0</v>
      </c>
      <c r="E1" s="132"/>
      <c r="F1" s="132"/>
      <c r="G1" s="132"/>
      <c r="H1" s="132"/>
      <c r="I1" s="132"/>
      <c r="J1" s="132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33" t="s">
        <v>1</v>
      </c>
      <c r="E2" s="133"/>
      <c r="F2" s="133"/>
      <c r="G2" s="133" t="s">
        <v>2</v>
      </c>
      <c r="H2" s="133"/>
      <c r="I2" s="133"/>
      <c r="J2" s="133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33" t="s">
        <v>3</v>
      </c>
      <c r="E3" s="133"/>
      <c r="F3" s="133"/>
      <c r="G3" s="133"/>
      <c r="H3" s="133"/>
      <c r="I3" s="133"/>
      <c r="J3" s="133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 thickBo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 thickBot="1">
      <c r="A5" s="12"/>
      <c r="B5" s="13" t="str">
        <f>G2</f>
        <v>TRIUNO INSTALAÇÕES LTDA</v>
      </c>
      <c r="C5" s="14"/>
      <c r="D5" s="14"/>
      <c r="E5" s="15"/>
      <c r="F5" s="15"/>
      <c r="G5" s="14"/>
      <c r="H5" s="134" t="s">
        <v>4</v>
      </c>
      <c r="I5" s="134"/>
      <c r="J5" s="134"/>
      <c r="K5" s="16" t="s">
        <v>5</v>
      </c>
      <c r="L5" s="14"/>
      <c r="M5" s="17"/>
      <c r="N5" s="18">
        <v>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 thickBot="1">
      <c r="A6" s="20"/>
      <c r="B6" s="21" t="str">
        <f>D1</f>
        <v>OBRA: FKR-018 - RIL</v>
      </c>
      <c r="C6" s="22"/>
      <c r="D6" s="22"/>
      <c r="E6" s="23"/>
      <c r="F6" s="23"/>
      <c r="G6" s="22"/>
      <c r="H6" s="142" t="s">
        <v>6</v>
      </c>
      <c r="I6" s="142"/>
      <c r="J6" s="142"/>
      <c r="K6" s="135" t="s">
        <v>7</v>
      </c>
      <c r="L6" s="135"/>
      <c r="M6" s="24"/>
      <c r="N6" s="107" t="s">
        <v>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136" t="s">
        <v>9</v>
      </c>
      <c r="B7" s="137" t="s">
        <v>10</v>
      </c>
      <c r="C7" s="138" t="s">
        <v>11</v>
      </c>
      <c r="D7" s="138"/>
      <c r="E7" s="138"/>
      <c r="F7" s="138"/>
      <c r="G7" s="138"/>
      <c r="H7" s="139" t="s">
        <v>12</v>
      </c>
      <c r="I7" s="139"/>
      <c r="J7" s="139"/>
      <c r="K7" s="140" t="s">
        <v>13</v>
      </c>
      <c r="L7" s="140"/>
      <c r="M7" s="143" t="s">
        <v>14</v>
      </c>
      <c r="N7" s="137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136"/>
      <c r="B8" s="137"/>
      <c r="C8" s="144" t="s">
        <v>15</v>
      </c>
      <c r="D8" s="145" t="s">
        <v>16</v>
      </c>
      <c r="E8" s="146" t="s">
        <v>17</v>
      </c>
      <c r="F8" s="148" t="s">
        <v>18</v>
      </c>
      <c r="G8" s="150" t="s">
        <v>19</v>
      </c>
      <c r="H8" s="151" t="s">
        <v>16</v>
      </c>
      <c r="I8" s="25"/>
      <c r="J8" s="141" t="s">
        <v>20</v>
      </c>
      <c r="K8" s="154" t="s">
        <v>16</v>
      </c>
      <c r="L8" s="141" t="s">
        <v>21</v>
      </c>
      <c r="M8" s="143" t="s">
        <v>22</v>
      </c>
      <c r="N8" s="137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136"/>
      <c r="B9" s="137"/>
      <c r="C9" s="144"/>
      <c r="D9" s="145"/>
      <c r="E9" s="147"/>
      <c r="F9" s="149"/>
      <c r="G9" s="150"/>
      <c r="H9" s="150"/>
      <c r="I9" s="26" t="s">
        <v>17</v>
      </c>
      <c r="J9" s="141"/>
      <c r="K9" s="154"/>
      <c r="L9" s="141"/>
      <c r="M9" s="143"/>
      <c r="N9" s="137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27">
        <v>1</v>
      </c>
      <c r="B10" s="28" t="s">
        <v>23</v>
      </c>
      <c r="C10" s="114" t="s">
        <v>24</v>
      </c>
      <c r="D10" s="29">
        <v>1</v>
      </c>
      <c r="E10" s="30">
        <v>1450</v>
      </c>
      <c r="F10" s="115"/>
      <c r="G10" s="31">
        <f>E10</f>
        <v>1450</v>
      </c>
      <c r="H10" s="32">
        <v>11</v>
      </c>
      <c r="I10" s="116">
        <f>+E10</f>
        <v>1450</v>
      </c>
      <c r="J10" s="33">
        <f>+I10*H10</f>
        <v>15950</v>
      </c>
      <c r="K10" s="34">
        <f>+H10</f>
        <v>11</v>
      </c>
      <c r="L10" s="35">
        <f>+J10</f>
        <v>15950</v>
      </c>
      <c r="M10" s="36"/>
      <c r="N10" s="37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27">
        <v>2</v>
      </c>
      <c r="B11" s="28" t="s">
        <v>25</v>
      </c>
      <c r="C11" s="117" t="s">
        <v>24</v>
      </c>
      <c r="D11" s="29">
        <v>1</v>
      </c>
      <c r="E11" s="30">
        <v>450</v>
      </c>
      <c r="F11" s="41"/>
      <c r="G11" s="31">
        <f>E11</f>
        <v>450</v>
      </c>
      <c r="H11" s="32">
        <f>Auxiliar!D20</f>
        <v>6</v>
      </c>
      <c r="I11" s="118">
        <f>+E11</f>
        <v>450</v>
      </c>
      <c r="J11" s="33">
        <f>+I11*H11</f>
        <v>2700</v>
      </c>
      <c r="K11" s="34">
        <f>+H11</f>
        <v>6</v>
      </c>
      <c r="L11" s="35">
        <f>+J11</f>
        <v>2700</v>
      </c>
      <c r="M11" s="36"/>
      <c r="N11" s="37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27"/>
      <c r="B12" s="28"/>
      <c r="C12" s="117"/>
      <c r="D12" s="29"/>
      <c r="E12" s="30"/>
      <c r="F12" s="41"/>
      <c r="G12" s="31">
        <f>E12</f>
        <v>0</v>
      </c>
      <c r="H12" s="32"/>
      <c r="I12" s="118">
        <f>+E12</f>
        <v>0</v>
      </c>
      <c r="J12" s="33">
        <f>+I12*H12</f>
        <v>0</v>
      </c>
      <c r="K12" s="34">
        <f>+H12</f>
        <v>0</v>
      </c>
      <c r="L12" s="35">
        <f>+J12</f>
        <v>0</v>
      </c>
      <c r="M12" s="36"/>
      <c r="N12" s="37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39"/>
      <c r="B13" s="45"/>
      <c r="C13" s="40"/>
      <c r="D13" s="38"/>
      <c r="E13" s="46"/>
      <c r="F13" s="47"/>
      <c r="G13" s="48"/>
      <c r="H13" s="42"/>
      <c r="I13" s="108"/>
      <c r="J13" s="43"/>
      <c r="K13" s="49"/>
      <c r="L13" s="50"/>
      <c r="M13" s="44"/>
      <c r="N13" s="51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 thickBot="1">
      <c r="A14" s="155"/>
      <c r="B14" s="155"/>
      <c r="C14" s="155"/>
      <c r="D14" s="155"/>
      <c r="E14" s="52"/>
      <c r="F14" s="53"/>
      <c r="G14" s="54">
        <f>SUM(G10:G12)</f>
        <v>1900</v>
      </c>
      <c r="H14" s="55"/>
      <c r="I14" s="56"/>
      <c r="J14" s="57">
        <f>SUM(J10:J12)</f>
        <v>18650</v>
      </c>
      <c r="K14" s="156" t="s">
        <v>26</v>
      </c>
      <c r="L14" s="157"/>
      <c r="M14" s="58">
        <f>+SUM(L10:L12)</f>
        <v>18650</v>
      </c>
      <c r="N14" s="5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 thickBot="1">
      <c r="A15" s="60"/>
      <c r="B15" s="61"/>
      <c r="C15" s="61"/>
      <c r="D15" s="61"/>
      <c r="E15" s="62"/>
      <c r="F15" s="62"/>
      <c r="G15" s="62"/>
      <c r="H15" s="63"/>
      <c r="I15" s="62"/>
      <c r="J15" s="62"/>
      <c r="K15" s="62"/>
      <c r="L15" s="61"/>
      <c r="M15" s="62"/>
      <c r="N15" s="64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30" customHeight="1" thickBot="1">
      <c r="A16" s="112"/>
      <c r="B16" s="112" t="s">
        <v>27</v>
      </c>
      <c r="C16" s="158"/>
      <c r="D16" s="158"/>
      <c r="E16" s="65"/>
      <c r="F16" s="65"/>
      <c r="G16" s="66">
        <f>J14</f>
        <v>18650</v>
      </c>
      <c r="H16" s="159" t="s">
        <v>28</v>
      </c>
      <c r="I16" s="159"/>
      <c r="J16" s="159"/>
      <c r="K16" s="160" t="s">
        <v>29</v>
      </c>
      <c r="L16" s="160"/>
      <c r="M16" s="160"/>
      <c r="N16" s="16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30" customHeight="1" thickBot="1">
      <c r="A17" s="67" t="s">
        <v>9</v>
      </c>
      <c r="B17" s="113" t="s">
        <v>30</v>
      </c>
      <c r="C17" s="167" t="s">
        <v>31</v>
      </c>
      <c r="D17" s="167"/>
      <c r="E17" s="68"/>
      <c r="F17" s="68"/>
      <c r="G17" s="69" t="s">
        <v>32</v>
      </c>
      <c r="H17" s="168" t="s">
        <v>33</v>
      </c>
      <c r="I17" s="168"/>
      <c r="J17" s="70">
        <f>+J23</f>
        <v>932.5</v>
      </c>
      <c r="K17" s="169"/>
      <c r="L17" s="169"/>
      <c r="M17" s="169"/>
      <c r="N17" s="16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109">
        <v>1</v>
      </c>
      <c r="B18" s="71"/>
      <c r="C18" s="170"/>
      <c r="D18" s="170"/>
      <c r="E18" s="171"/>
      <c r="F18" s="171"/>
      <c r="G18" s="171"/>
      <c r="H18" s="72"/>
      <c r="I18" s="73"/>
      <c r="J18" s="119"/>
      <c r="K18" s="74"/>
      <c r="L18" s="75"/>
      <c r="M18" s="76"/>
      <c r="N18" s="77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6">
        <v>2</v>
      </c>
      <c r="B19" s="110"/>
      <c r="C19" s="172"/>
      <c r="D19" s="172"/>
      <c r="E19" s="173"/>
      <c r="F19" s="173"/>
      <c r="G19" s="173"/>
      <c r="H19" s="78"/>
      <c r="I19" s="79"/>
      <c r="J19" s="79"/>
      <c r="K19" s="80"/>
      <c r="L19" s="81"/>
      <c r="M19" s="82"/>
      <c r="N19" s="83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15" customHeight="1">
      <c r="A20" s="86">
        <v>3</v>
      </c>
      <c r="B20" s="71"/>
      <c r="C20" s="170"/>
      <c r="D20" s="170"/>
      <c r="E20" s="171"/>
      <c r="F20" s="171"/>
      <c r="G20" s="171"/>
      <c r="H20" s="78"/>
      <c r="I20" s="79"/>
      <c r="J20" s="79"/>
      <c r="K20" s="80"/>
      <c r="L20" s="81"/>
      <c r="M20" s="82"/>
      <c r="N20" s="83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86">
        <v>4</v>
      </c>
      <c r="B21" s="71"/>
      <c r="C21" s="170"/>
      <c r="D21" s="170"/>
      <c r="E21" s="171"/>
      <c r="F21" s="171"/>
      <c r="G21" s="171"/>
      <c r="H21" s="78"/>
      <c r="I21" s="79"/>
      <c r="J21" s="79"/>
      <c r="K21" s="84"/>
      <c r="L21" s="85"/>
      <c r="M21" s="171"/>
      <c r="N21" s="171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15.75" thickBot="1">
      <c r="A22" s="87">
        <v>5</v>
      </c>
      <c r="B22" s="88"/>
      <c r="C22" s="161"/>
      <c r="D22" s="161"/>
      <c r="E22" s="162"/>
      <c r="F22" s="162"/>
      <c r="G22" s="162"/>
      <c r="H22" s="163"/>
      <c r="I22" s="163"/>
      <c r="J22" s="164"/>
      <c r="K22" s="165"/>
      <c r="L22" s="165"/>
      <c r="M22" s="165"/>
      <c r="N22" s="166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 thickBot="1">
      <c r="A23" s="89"/>
      <c r="B23" s="90"/>
      <c r="C23" s="91"/>
      <c r="D23" s="92"/>
      <c r="E23" s="174" t="s">
        <v>34</v>
      </c>
      <c r="F23" s="174"/>
      <c r="G23" s="93">
        <f>+SUM(E18:G22)</f>
        <v>0</v>
      </c>
      <c r="H23" s="175" t="s">
        <v>35</v>
      </c>
      <c r="I23" s="175"/>
      <c r="J23" s="94">
        <f>G25*0.05</f>
        <v>932.5</v>
      </c>
      <c r="K23" s="121" t="s">
        <v>36</v>
      </c>
      <c r="L23" s="92"/>
      <c r="M23" s="176">
        <f>M21</f>
        <v>0</v>
      </c>
      <c r="N23" s="176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24.95" customHeight="1" thickBot="1">
      <c r="A24" s="95"/>
      <c r="B24" s="96"/>
      <c r="C24" s="97"/>
      <c r="D24" s="98"/>
      <c r="E24" s="99"/>
      <c r="F24" s="100"/>
      <c r="G24" s="101"/>
      <c r="H24" s="102"/>
      <c r="I24" s="103"/>
      <c r="J24" s="103"/>
      <c r="K24" s="177"/>
      <c r="L24" s="177"/>
      <c r="M24" s="177"/>
      <c r="N24" s="177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24.95" customHeight="1" thickBot="1">
      <c r="A25" s="111"/>
      <c r="B25" s="104" t="s">
        <v>37</v>
      </c>
      <c r="C25" s="105"/>
      <c r="D25" s="65"/>
      <c r="E25" s="178" t="s">
        <v>38</v>
      </c>
      <c r="F25" s="178"/>
      <c r="G25" s="106">
        <f>G16-G23</f>
        <v>18650</v>
      </c>
      <c r="H25" s="179" t="s">
        <v>39</v>
      </c>
      <c r="I25" s="179"/>
      <c r="J25" s="120">
        <f>G25-J23</f>
        <v>17717.5</v>
      </c>
      <c r="K25" s="180" t="s">
        <v>40</v>
      </c>
      <c r="L25" s="180"/>
      <c r="M25" s="181">
        <f>+J25-M23</f>
        <v>17717.5</v>
      </c>
      <c r="N25" s="181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6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</sheetData>
  <mergeCells count="53">
    <mergeCell ref="M7:N7"/>
    <mergeCell ref="C8:C9"/>
    <mergeCell ref="D8:D9"/>
    <mergeCell ref="G8:G9"/>
    <mergeCell ref="D1:J1"/>
    <mergeCell ref="D2:F2"/>
    <mergeCell ref="G2:J2"/>
    <mergeCell ref="D3:J3"/>
    <mergeCell ref="H5:J5"/>
    <mergeCell ref="K6:L6"/>
    <mergeCell ref="H6:J6"/>
    <mergeCell ref="N8:N9"/>
    <mergeCell ref="M8:M9"/>
    <mergeCell ref="E8:E9"/>
    <mergeCell ref="F8:F9"/>
    <mergeCell ref="A7:A9"/>
    <mergeCell ref="B7:B9"/>
    <mergeCell ref="C7:G7"/>
    <mergeCell ref="H7:J7"/>
    <mergeCell ref="K7:L7"/>
    <mergeCell ref="H8:H9"/>
    <mergeCell ref="J8:J9"/>
    <mergeCell ref="K8:K9"/>
    <mergeCell ref="L8:L9"/>
    <mergeCell ref="H17:I17"/>
    <mergeCell ref="K17:N17"/>
    <mergeCell ref="C20:D20"/>
    <mergeCell ref="E20:G20"/>
    <mergeCell ref="C17:D17"/>
    <mergeCell ref="A14:D14"/>
    <mergeCell ref="K14:L14"/>
    <mergeCell ref="C16:D16"/>
    <mergeCell ref="H16:J16"/>
    <mergeCell ref="K16:N16"/>
    <mergeCell ref="C21:D21"/>
    <mergeCell ref="E21:G21"/>
    <mergeCell ref="M21:N21"/>
    <mergeCell ref="C18:D18"/>
    <mergeCell ref="E18:G18"/>
    <mergeCell ref="C19:D19"/>
    <mergeCell ref="E19:G19"/>
    <mergeCell ref="C22:D22"/>
    <mergeCell ref="E22:G22"/>
    <mergeCell ref="H22:J22"/>
    <mergeCell ref="K22:N22"/>
    <mergeCell ref="E23:F23"/>
    <mergeCell ref="H23:I23"/>
    <mergeCell ref="M23:N23"/>
    <mergeCell ref="K24:N24"/>
    <mergeCell ref="E25:F25"/>
    <mergeCell ref="H25:I25"/>
    <mergeCell ref="K25:L25"/>
    <mergeCell ref="M25:N25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8456-3D5D-4588-8931-D7964D2FE146}">
  <sheetPr>
    <pageSetUpPr fitToPage="1"/>
  </sheetPr>
  <dimension ref="A1:AW854"/>
  <sheetViews>
    <sheetView topLeftCell="B1" zoomScale="55" zoomScaleNormal="55" workbookViewId="0">
      <selection activeCell="J18" sqref="J18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32" t="s">
        <v>0</v>
      </c>
      <c r="E1" s="132"/>
      <c r="F1" s="132"/>
      <c r="G1" s="132"/>
      <c r="H1" s="132"/>
      <c r="I1" s="132"/>
      <c r="J1" s="132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33" t="s">
        <v>1</v>
      </c>
      <c r="E2" s="133"/>
      <c r="F2" s="133"/>
      <c r="G2" s="133" t="s">
        <v>2</v>
      </c>
      <c r="H2" s="133"/>
      <c r="I2" s="133"/>
      <c r="J2" s="133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33" t="s">
        <v>3</v>
      </c>
      <c r="E3" s="133"/>
      <c r="F3" s="133"/>
      <c r="G3" s="133"/>
      <c r="H3" s="133"/>
      <c r="I3" s="133"/>
      <c r="J3" s="133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TRIUNO INSTALAÇÕES LTDA</v>
      </c>
      <c r="C5" s="14"/>
      <c r="D5" s="14"/>
      <c r="E5" s="15"/>
      <c r="F5" s="15"/>
      <c r="G5" s="14"/>
      <c r="H5" s="134" t="s">
        <v>4</v>
      </c>
      <c r="I5" s="134"/>
      <c r="J5" s="134"/>
      <c r="K5" s="16" t="s">
        <v>5</v>
      </c>
      <c r="L5" s="14"/>
      <c r="M5" s="17"/>
      <c r="N5" s="18">
        <v>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142" t="s">
        <v>6</v>
      </c>
      <c r="I6" s="142"/>
      <c r="J6" s="142"/>
      <c r="K6" s="135" t="s">
        <v>7</v>
      </c>
      <c r="L6" s="135"/>
      <c r="M6" s="24"/>
      <c r="N6" s="107" t="s">
        <v>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136" t="s">
        <v>9</v>
      </c>
      <c r="B7" s="137" t="s">
        <v>10</v>
      </c>
      <c r="C7" s="138" t="s">
        <v>11</v>
      </c>
      <c r="D7" s="138"/>
      <c r="E7" s="138"/>
      <c r="F7" s="138"/>
      <c r="G7" s="138"/>
      <c r="H7" s="139" t="s">
        <v>12</v>
      </c>
      <c r="I7" s="139"/>
      <c r="J7" s="139"/>
      <c r="K7" s="140" t="s">
        <v>13</v>
      </c>
      <c r="L7" s="140"/>
      <c r="M7" s="143" t="s">
        <v>14</v>
      </c>
      <c r="N7" s="137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136"/>
      <c r="B8" s="137"/>
      <c r="C8" s="144" t="s">
        <v>15</v>
      </c>
      <c r="D8" s="145" t="s">
        <v>16</v>
      </c>
      <c r="E8" s="146" t="s">
        <v>17</v>
      </c>
      <c r="F8" s="148" t="s">
        <v>18</v>
      </c>
      <c r="G8" s="150" t="s">
        <v>19</v>
      </c>
      <c r="H8" s="151" t="s">
        <v>16</v>
      </c>
      <c r="I8" s="152" t="s">
        <v>17</v>
      </c>
      <c r="J8" s="141" t="s">
        <v>20</v>
      </c>
      <c r="K8" s="154" t="s">
        <v>16</v>
      </c>
      <c r="L8" s="141" t="s">
        <v>21</v>
      </c>
      <c r="M8" s="143" t="s">
        <v>22</v>
      </c>
      <c r="N8" s="137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136"/>
      <c r="B9" s="137"/>
      <c r="C9" s="144"/>
      <c r="D9" s="145"/>
      <c r="E9" s="147"/>
      <c r="F9" s="149"/>
      <c r="G9" s="150"/>
      <c r="H9" s="150"/>
      <c r="I9" s="153"/>
      <c r="J9" s="141"/>
      <c r="K9" s="154"/>
      <c r="L9" s="141"/>
      <c r="M9" s="143"/>
      <c r="N9" s="137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27">
        <v>1</v>
      </c>
      <c r="B10" s="28" t="s">
        <v>41</v>
      </c>
      <c r="C10" s="114" t="s">
        <v>24</v>
      </c>
      <c r="D10" s="29">
        <v>1</v>
      </c>
      <c r="E10" s="30">
        <v>1000</v>
      </c>
      <c r="F10" s="115"/>
      <c r="G10" s="31">
        <f>E10</f>
        <v>1000</v>
      </c>
      <c r="H10" s="32">
        <f>Auxiliar!C34</f>
        <v>9</v>
      </c>
      <c r="I10" s="116">
        <f>+E10</f>
        <v>1000</v>
      </c>
      <c r="J10" s="33">
        <f>+I10*H10</f>
        <v>9000</v>
      </c>
      <c r="K10" s="34">
        <f>+H10</f>
        <v>9</v>
      </c>
      <c r="L10" s="35">
        <f>+J10</f>
        <v>9000</v>
      </c>
      <c r="M10" s="36"/>
      <c r="N10" s="37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27">
        <v>2</v>
      </c>
      <c r="B11" s="28" t="s">
        <v>42</v>
      </c>
      <c r="C11" s="117" t="s">
        <v>24</v>
      </c>
      <c r="D11" s="29">
        <v>1</v>
      </c>
      <c r="E11" s="30">
        <v>1000</v>
      </c>
      <c r="F11" s="41"/>
      <c r="G11" s="31">
        <f>E11</f>
        <v>1000</v>
      </c>
      <c r="H11" s="32">
        <f>Auxiliar!D34</f>
        <v>3.5</v>
      </c>
      <c r="I11" s="118">
        <f>+E11</f>
        <v>1000</v>
      </c>
      <c r="J11" s="33">
        <f>+I11*H11</f>
        <v>3500</v>
      </c>
      <c r="K11" s="34">
        <f>+H11</f>
        <v>3.5</v>
      </c>
      <c r="L11" s="35">
        <f>+J11</f>
        <v>3500</v>
      </c>
      <c r="M11" s="36"/>
      <c r="N11" s="37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27"/>
      <c r="B12" s="28"/>
      <c r="C12" s="117"/>
      <c r="D12" s="29"/>
      <c r="E12" s="30"/>
      <c r="F12" s="41"/>
      <c r="G12" s="31">
        <f>E12</f>
        <v>0</v>
      </c>
      <c r="H12" s="32"/>
      <c r="I12" s="118">
        <f>+E12</f>
        <v>0</v>
      </c>
      <c r="J12" s="33">
        <f>+I12*H12</f>
        <v>0</v>
      </c>
      <c r="K12" s="34">
        <f>+H12</f>
        <v>0</v>
      </c>
      <c r="L12" s="35">
        <f>+J12</f>
        <v>0</v>
      </c>
      <c r="M12" s="36"/>
      <c r="N12" s="37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39"/>
      <c r="B13" s="45"/>
      <c r="C13" s="40"/>
      <c r="D13" s="38"/>
      <c r="E13" s="46"/>
      <c r="F13" s="47"/>
      <c r="G13" s="48"/>
      <c r="H13" s="42"/>
      <c r="I13" s="108"/>
      <c r="J13" s="43"/>
      <c r="K13" s="49"/>
      <c r="L13" s="50"/>
      <c r="M13" s="44"/>
      <c r="N13" s="51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155"/>
      <c r="B14" s="155"/>
      <c r="C14" s="155"/>
      <c r="D14" s="155"/>
      <c r="E14" s="52"/>
      <c r="F14" s="53"/>
      <c r="G14" s="54">
        <f>SUM(G10:G12)</f>
        <v>2000</v>
      </c>
      <c r="H14" s="55"/>
      <c r="I14" s="56"/>
      <c r="J14" s="57">
        <f>SUM(J10:J12)</f>
        <v>12500</v>
      </c>
      <c r="K14" s="156" t="s">
        <v>26</v>
      </c>
      <c r="L14" s="157"/>
      <c r="M14" s="58">
        <f>+SUM(L10:L12)</f>
        <v>12500</v>
      </c>
      <c r="N14" s="5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>
      <c r="A15" s="60"/>
      <c r="B15" s="61"/>
      <c r="C15" s="61"/>
      <c r="D15" s="61"/>
      <c r="E15" s="62"/>
      <c r="F15" s="62"/>
      <c r="G15" s="62"/>
      <c r="H15" s="63"/>
      <c r="I15" s="62"/>
      <c r="J15" s="62"/>
      <c r="K15" s="62"/>
      <c r="L15" s="61"/>
      <c r="M15" s="62"/>
      <c r="N15" s="64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30" customHeight="1">
      <c r="A16" s="112"/>
      <c r="B16" s="112" t="s">
        <v>27</v>
      </c>
      <c r="C16" s="158"/>
      <c r="D16" s="158"/>
      <c r="E16" s="65"/>
      <c r="F16" s="65"/>
      <c r="G16" s="66">
        <f>J14</f>
        <v>12500</v>
      </c>
      <c r="H16" s="159" t="s">
        <v>28</v>
      </c>
      <c r="I16" s="159"/>
      <c r="J16" s="159"/>
      <c r="K16" s="160" t="s">
        <v>29</v>
      </c>
      <c r="L16" s="160"/>
      <c r="M16" s="160"/>
      <c r="N16" s="16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30" customHeight="1">
      <c r="A17" s="67" t="s">
        <v>9</v>
      </c>
      <c r="B17" s="113" t="s">
        <v>30</v>
      </c>
      <c r="C17" s="167" t="s">
        <v>31</v>
      </c>
      <c r="D17" s="167"/>
      <c r="E17" s="68"/>
      <c r="F17" s="68"/>
      <c r="G17" s="69" t="s">
        <v>32</v>
      </c>
      <c r="H17" s="168" t="s">
        <v>33</v>
      </c>
      <c r="I17" s="168"/>
      <c r="J17" s="70">
        <f>+J23+'MED 01'!J17</f>
        <v>1557.5</v>
      </c>
      <c r="K17" s="169"/>
      <c r="L17" s="169"/>
      <c r="M17" s="169"/>
      <c r="N17" s="16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109">
        <v>1</v>
      </c>
      <c r="B18" s="71"/>
      <c r="C18" s="170"/>
      <c r="D18" s="170"/>
      <c r="E18" s="171"/>
      <c r="F18" s="171"/>
      <c r="G18" s="171"/>
      <c r="H18" s="72"/>
      <c r="I18" s="73"/>
      <c r="J18" s="119"/>
      <c r="K18" s="74"/>
      <c r="L18" s="75"/>
      <c r="M18" s="76"/>
      <c r="N18" s="77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6">
        <v>2</v>
      </c>
      <c r="B19" s="110"/>
      <c r="C19" s="172"/>
      <c r="D19" s="172"/>
      <c r="E19" s="173"/>
      <c r="F19" s="173"/>
      <c r="G19" s="173"/>
      <c r="H19" s="78"/>
      <c r="I19" s="79"/>
      <c r="J19" s="79"/>
      <c r="K19" s="80"/>
      <c r="L19" s="81"/>
      <c r="M19" s="82"/>
      <c r="N19" s="83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15" customHeight="1">
      <c r="A20" s="86">
        <v>3</v>
      </c>
      <c r="B20" s="71"/>
      <c r="C20" s="170"/>
      <c r="D20" s="170"/>
      <c r="E20" s="171"/>
      <c r="F20" s="171"/>
      <c r="G20" s="171"/>
      <c r="H20" s="78"/>
      <c r="I20" s="79"/>
      <c r="J20" s="79"/>
      <c r="K20" s="80"/>
      <c r="L20" s="81"/>
      <c r="M20" s="82"/>
      <c r="N20" s="83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86">
        <v>4</v>
      </c>
      <c r="B21" s="71"/>
      <c r="C21" s="170"/>
      <c r="D21" s="170"/>
      <c r="E21" s="171"/>
      <c r="F21" s="171"/>
      <c r="G21" s="171"/>
      <c r="H21" s="78"/>
      <c r="I21" s="79"/>
      <c r="J21" s="79"/>
      <c r="K21" s="84"/>
      <c r="L21" s="85"/>
      <c r="M21" s="171"/>
      <c r="N21" s="171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>
      <c r="A22" s="87">
        <v>5</v>
      </c>
      <c r="B22" s="88"/>
      <c r="C22" s="161"/>
      <c r="D22" s="161"/>
      <c r="E22" s="162"/>
      <c r="F22" s="162"/>
      <c r="G22" s="162"/>
      <c r="H22" s="163"/>
      <c r="I22" s="163"/>
      <c r="J22" s="164"/>
      <c r="K22" s="165"/>
      <c r="L22" s="165"/>
      <c r="M22" s="165"/>
      <c r="N22" s="166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>
      <c r="A23" s="89"/>
      <c r="B23" s="90"/>
      <c r="C23" s="91"/>
      <c r="D23" s="92"/>
      <c r="E23" s="174" t="s">
        <v>34</v>
      </c>
      <c r="F23" s="174"/>
      <c r="G23" s="93">
        <f>+SUM(E18:G22)</f>
        <v>0</v>
      </c>
      <c r="H23" s="175" t="s">
        <v>35</v>
      </c>
      <c r="I23" s="175"/>
      <c r="J23" s="94">
        <f>G25*0.05</f>
        <v>625</v>
      </c>
      <c r="K23" s="121" t="s">
        <v>36</v>
      </c>
      <c r="L23" s="92"/>
      <c r="M23" s="176">
        <f>M21</f>
        <v>0</v>
      </c>
      <c r="N23" s="176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24.95" customHeight="1">
      <c r="A24" s="95"/>
      <c r="B24" s="96"/>
      <c r="C24" s="97"/>
      <c r="D24" s="98"/>
      <c r="E24" s="99"/>
      <c r="F24" s="100"/>
      <c r="G24" s="101"/>
      <c r="H24" s="102"/>
      <c r="I24" s="103"/>
      <c r="J24" s="103"/>
      <c r="K24" s="177"/>
      <c r="L24" s="177"/>
      <c r="M24" s="177"/>
      <c r="N24" s="177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24.95" customHeight="1">
      <c r="A25" s="111"/>
      <c r="B25" s="104" t="s">
        <v>37</v>
      </c>
      <c r="C25" s="105"/>
      <c r="D25" s="65"/>
      <c r="E25" s="178" t="s">
        <v>38</v>
      </c>
      <c r="F25" s="178"/>
      <c r="G25" s="106">
        <f>G16-G23</f>
        <v>12500</v>
      </c>
      <c r="H25" s="179" t="s">
        <v>39</v>
      </c>
      <c r="I25" s="179"/>
      <c r="J25" s="120">
        <f>G25-J23</f>
        <v>11875</v>
      </c>
      <c r="K25" s="180" t="s">
        <v>40</v>
      </c>
      <c r="L25" s="180"/>
      <c r="M25" s="181">
        <f>+J25-M23</f>
        <v>11875</v>
      </c>
      <c r="N25" s="181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6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</sheetData>
  <mergeCells count="54">
    <mergeCell ref="D1:J1"/>
    <mergeCell ref="D2:F2"/>
    <mergeCell ref="G2:J2"/>
    <mergeCell ref="D3:J3"/>
    <mergeCell ref="H5:J5"/>
    <mergeCell ref="K6:L6"/>
    <mergeCell ref="A7:A9"/>
    <mergeCell ref="B7:B9"/>
    <mergeCell ref="C7:G7"/>
    <mergeCell ref="H7:J7"/>
    <mergeCell ref="K7:L7"/>
    <mergeCell ref="H6:J6"/>
    <mergeCell ref="M7:N7"/>
    <mergeCell ref="C8:C9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I8:I9"/>
    <mergeCell ref="A14:D14"/>
    <mergeCell ref="K14:L14"/>
    <mergeCell ref="C16:D16"/>
    <mergeCell ref="H16:J16"/>
    <mergeCell ref="K16:N16"/>
    <mergeCell ref="C22:D22"/>
    <mergeCell ref="E22:G22"/>
    <mergeCell ref="H22:J22"/>
    <mergeCell ref="K22:N22"/>
    <mergeCell ref="C17:D17"/>
    <mergeCell ref="H17:I17"/>
    <mergeCell ref="K17:N17"/>
    <mergeCell ref="C18:D18"/>
    <mergeCell ref="E18:G18"/>
    <mergeCell ref="C19:D19"/>
    <mergeCell ref="E19:G19"/>
    <mergeCell ref="C20:D20"/>
    <mergeCell ref="E20:G20"/>
    <mergeCell ref="C21:D21"/>
    <mergeCell ref="E21:G21"/>
    <mergeCell ref="M21:N21"/>
    <mergeCell ref="E23:F23"/>
    <mergeCell ref="H23:I23"/>
    <mergeCell ref="M23:N23"/>
    <mergeCell ref="K24:N24"/>
    <mergeCell ref="E25:F25"/>
    <mergeCell ref="H25:I25"/>
    <mergeCell ref="K25:L25"/>
    <mergeCell ref="M25:N25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7A27-246A-48C1-8289-E29E33B943DF}">
  <sheetPr>
    <pageSetUpPr fitToPage="1"/>
  </sheetPr>
  <dimension ref="A1:AW854"/>
  <sheetViews>
    <sheetView topLeftCell="C1" zoomScale="55" zoomScaleNormal="55" workbookViewId="0">
      <selection activeCell="J18" sqref="J18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32" t="s">
        <v>0</v>
      </c>
      <c r="E1" s="132"/>
      <c r="F1" s="132"/>
      <c r="G1" s="132"/>
      <c r="H1" s="132"/>
      <c r="I1" s="132"/>
      <c r="J1" s="132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33" t="s">
        <v>1</v>
      </c>
      <c r="E2" s="133"/>
      <c r="F2" s="133"/>
      <c r="G2" s="133" t="s">
        <v>2</v>
      </c>
      <c r="H2" s="133"/>
      <c r="I2" s="133"/>
      <c r="J2" s="133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33" t="s">
        <v>3</v>
      </c>
      <c r="E3" s="133"/>
      <c r="F3" s="133"/>
      <c r="G3" s="133"/>
      <c r="H3" s="133"/>
      <c r="I3" s="133"/>
      <c r="J3" s="133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TRIUNO INSTALAÇÕES LTDA</v>
      </c>
      <c r="C5" s="14"/>
      <c r="D5" s="14"/>
      <c r="E5" s="15"/>
      <c r="F5" s="15"/>
      <c r="G5" s="14"/>
      <c r="H5" s="134" t="s">
        <v>4</v>
      </c>
      <c r="I5" s="134"/>
      <c r="J5" s="134"/>
      <c r="K5" s="16" t="s">
        <v>5</v>
      </c>
      <c r="L5" s="14"/>
      <c r="M5" s="17"/>
      <c r="N5" s="18">
        <v>3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142" t="s">
        <v>43</v>
      </c>
      <c r="I6" s="142"/>
      <c r="J6" s="142"/>
      <c r="K6" s="135" t="s">
        <v>7</v>
      </c>
      <c r="L6" s="135"/>
      <c r="M6" s="24"/>
      <c r="N6" s="107" t="s">
        <v>44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136" t="s">
        <v>9</v>
      </c>
      <c r="B7" s="137" t="s">
        <v>10</v>
      </c>
      <c r="C7" s="138" t="s">
        <v>11</v>
      </c>
      <c r="D7" s="138"/>
      <c r="E7" s="138"/>
      <c r="F7" s="138"/>
      <c r="G7" s="138"/>
      <c r="H7" s="139" t="s">
        <v>12</v>
      </c>
      <c r="I7" s="139"/>
      <c r="J7" s="139"/>
      <c r="K7" s="140" t="s">
        <v>13</v>
      </c>
      <c r="L7" s="140"/>
      <c r="M7" s="143" t="s">
        <v>14</v>
      </c>
      <c r="N7" s="137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136"/>
      <c r="B8" s="137"/>
      <c r="C8" s="144" t="s">
        <v>15</v>
      </c>
      <c r="D8" s="145" t="s">
        <v>16</v>
      </c>
      <c r="E8" s="146" t="s">
        <v>17</v>
      </c>
      <c r="F8" s="148" t="s">
        <v>18</v>
      </c>
      <c r="G8" s="150" t="s">
        <v>19</v>
      </c>
      <c r="H8" s="151" t="s">
        <v>16</v>
      </c>
      <c r="I8" s="152" t="s">
        <v>17</v>
      </c>
      <c r="J8" s="141" t="s">
        <v>20</v>
      </c>
      <c r="K8" s="154" t="s">
        <v>16</v>
      </c>
      <c r="L8" s="141" t="s">
        <v>21</v>
      </c>
      <c r="M8" s="143" t="s">
        <v>22</v>
      </c>
      <c r="N8" s="137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136"/>
      <c r="B9" s="137"/>
      <c r="C9" s="144"/>
      <c r="D9" s="145"/>
      <c r="E9" s="147"/>
      <c r="F9" s="149"/>
      <c r="G9" s="150"/>
      <c r="H9" s="150"/>
      <c r="I9" s="153"/>
      <c r="J9" s="141"/>
      <c r="K9" s="154"/>
      <c r="L9" s="141"/>
      <c r="M9" s="143"/>
      <c r="N9" s="137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27">
        <v>1</v>
      </c>
      <c r="B10" s="28" t="s">
        <v>41</v>
      </c>
      <c r="C10" s="114" t="s">
        <v>24</v>
      </c>
      <c r="D10" s="29">
        <v>1</v>
      </c>
      <c r="E10" s="30">
        <v>1000</v>
      </c>
      <c r="F10" s="115"/>
      <c r="G10" s="31">
        <f>E10</f>
        <v>1000</v>
      </c>
      <c r="H10" s="32">
        <f>Auxiliar!D50</f>
        <v>7</v>
      </c>
      <c r="I10" s="116">
        <f>+E10</f>
        <v>1000</v>
      </c>
      <c r="J10" s="33">
        <f>+I10*H10</f>
        <v>7000</v>
      </c>
      <c r="K10" s="34">
        <f>+H10</f>
        <v>7</v>
      </c>
      <c r="L10" s="35">
        <f>+J10</f>
        <v>7000</v>
      </c>
      <c r="M10" s="36"/>
      <c r="N10" s="37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27">
        <v>2</v>
      </c>
      <c r="B11" s="28" t="s">
        <v>42</v>
      </c>
      <c r="C11" s="117" t="s">
        <v>24</v>
      </c>
      <c r="D11" s="29">
        <v>1</v>
      </c>
      <c r="E11" s="30">
        <v>1000</v>
      </c>
      <c r="F11" s="41"/>
      <c r="G11" s="31">
        <f>E11</f>
        <v>1000</v>
      </c>
      <c r="H11" s="32">
        <f>Auxiliar!C50</f>
        <v>9</v>
      </c>
      <c r="I11" s="118">
        <f>+E11</f>
        <v>1000</v>
      </c>
      <c r="J11" s="33">
        <f>+I11*H11</f>
        <v>9000</v>
      </c>
      <c r="K11" s="34">
        <f>+H11</f>
        <v>9</v>
      </c>
      <c r="L11" s="35">
        <f>+J11</f>
        <v>9000</v>
      </c>
      <c r="M11" s="36"/>
      <c r="N11" s="37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8.75">
      <c r="A12" s="27"/>
      <c r="B12" s="28"/>
      <c r="C12" s="117"/>
      <c r="D12" s="29"/>
      <c r="E12" s="30"/>
      <c r="F12" s="41"/>
      <c r="G12" s="31">
        <f>E12</f>
        <v>0</v>
      </c>
      <c r="H12" s="32"/>
      <c r="I12" s="118">
        <f>+E12</f>
        <v>0</v>
      </c>
      <c r="J12" s="33">
        <f>+I12*H12</f>
        <v>0</v>
      </c>
      <c r="K12" s="34">
        <f>+H12</f>
        <v>0</v>
      </c>
      <c r="L12" s="35">
        <f>+J12</f>
        <v>0</v>
      </c>
      <c r="M12" s="36"/>
      <c r="N12" s="37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39"/>
      <c r="B13" s="45"/>
      <c r="C13" s="40"/>
      <c r="D13" s="38"/>
      <c r="E13" s="46"/>
      <c r="F13" s="47"/>
      <c r="G13" s="48"/>
      <c r="H13" s="42"/>
      <c r="I13" s="108"/>
      <c r="J13" s="43"/>
      <c r="K13" s="49"/>
      <c r="L13" s="50"/>
      <c r="M13" s="44"/>
      <c r="N13" s="51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155"/>
      <c r="B14" s="155"/>
      <c r="C14" s="155"/>
      <c r="D14" s="155"/>
      <c r="E14" s="52"/>
      <c r="F14" s="53"/>
      <c r="G14" s="54">
        <f>SUM(G10:G12)</f>
        <v>2000</v>
      </c>
      <c r="H14" s="55"/>
      <c r="I14" s="56"/>
      <c r="J14" s="57">
        <f>SUM(J10:J12)</f>
        <v>16000</v>
      </c>
      <c r="K14" s="156" t="s">
        <v>26</v>
      </c>
      <c r="L14" s="157"/>
      <c r="M14" s="58">
        <f>+SUM(L10:L12)</f>
        <v>16000</v>
      </c>
      <c r="N14" s="5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24.95" customHeight="1">
      <c r="A15" s="60"/>
      <c r="B15" s="61"/>
      <c r="C15" s="61"/>
      <c r="D15" s="61"/>
      <c r="E15" s="62"/>
      <c r="F15" s="62"/>
      <c r="G15" s="62"/>
      <c r="H15" s="63"/>
      <c r="I15" s="62"/>
      <c r="J15" s="62"/>
      <c r="K15" s="62"/>
      <c r="L15" s="61"/>
      <c r="M15" s="62"/>
      <c r="N15" s="64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30" customHeight="1">
      <c r="A16" s="112"/>
      <c r="B16" s="112" t="s">
        <v>27</v>
      </c>
      <c r="C16" s="158"/>
      <c r="D16" s="158"/>
      <c r="E16" s="65"/>
      <c r="F16" s="65"/>
      <c r="G16" s="66">
        <f>J14</f>
        <v>16000</v>
      </c>
      <c r="H16" s="159" t="s">
        <v>28</v>
      </c>
      <c r="I16" s="159"/>
      <c r="J16" s="159"/>
      <c r="K16" s="160" t="s">
        <v>29</v>
      </c>
      <c r="L16" s="160"/>
      <c r="M16" s="160"/>
      <c r="N16" s="16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30" customHeight="1">
      <c r="A17" s="67" t="s">
        <v>9</v>
      </c>
      <c r="B17" s="113" t="s">
        <v>30</v>
      </c>
      <c r="C17" s="167" t="s">
        <v>31</v>
      </c>
      <c r="D17" s="167"/>
      <c r="E17" s="68"/>
      <c r="F17" s="68"/>
      <c r="G17" s="69" t="s">
        <v>32</v>
      </c>
      <c r="H17" s="168" t="s">
        <v>33</v>
      </c>
      <c r="I17" s="168"/>
      <c r="J17" s="70">
        <f>+J23+'MED 02'!J17</f>
        <v>2357.5</v>
      </c>
      <c r="K17" s="169"/>
      <c r="L17" s="169"/>
      <c r="M17" s="169"/>
      <c r="N17" s="16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109">
        <v>1</v>
      </c>
      <c r="B18" s="71"/>
      <c r="C18" s="170"/>
      <c r="D18" s="170"/>
      <c r="E18" s="171"/>
      <c r="F18" s="171"/>
      <c r="G18" s="171"/>
      <c r="H18" s="72"/>
      <c r="I18" s="73"/>
      <c r="J18" s="119"/>
      <c r="K18" s="74"/>
      <c r="L18" s="75"/>
      <c r="M18" s="76"/>
      <c r="N18" s="77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6">
        <v>2</v>
      </c>
      <c r="B19" s="110"/>
      <c r="C19" s="172"/>
      <c r="D19" s="172"/>
      <c r="E19" s="173"/>
      <c r="F19" s="173"/>
      <c r="G19" s="173"/>
      <c r="H19" s="78"/>
      <c r="I19" s="79"/>
      <c r="J19" s="79"/>
      <c r="K19" s="80"/>
      <c r="L19" s="81"/>
      <c r="M19" s="82"/>
      <c r="N19" s="83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15" customHeight="1">
      <c r="A20" s="86">
        <v>3</v>
      </c>
      <c r="B20" s="71"/>
      <c r="C20" s="170"/>
      <c r="D20" s="170"/>
      <c r="E20" s="171"/>
      <c r="F20" s="171"/>
      <c r="G20" s="171"/>
      <c r="H20" s="78"/>
      <c r="I20" s="79"/>
      <c r="J20" s="79"/>
      <c r="K20" s="80"/>
      <c r="L20" s="81"/>
      <c r="M20" s="82"/>
      <c r="N20" s="83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86">
        <v>4</v>
      </c>
      <c r="B21" s="71"/>
      <c r="C21" s="170"/>
      <c r="D21" s="170"/>
      <c r="E21" s="171"/>
      <c r="F21" s="171"/>
      <c r="G21" s="171"/>
      <c r="H21" s="78"/>
      <c r="I21" s="79"/>
      <c r="J21" s="79"/>
      <c r="K21" s="84"/>
      <c r="L21" s="85"/>
      <c r="M21" s="171"/>
      <c r="N21" s="171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>
      <c r="A22" s="87">
        <v>5</v>
      </c>
      <c r="B22" s="88"/>
      <c r="C22" s="161"/>
      <c r="D22" s="161"/>
      <c r="E22" s="162"/>
      <c r="F22" s="162"/>
      <c r="G22" s="162"/>
      <c r="H22" s="163"/>
      <c r="I22" s="163"/>
      <c r="J22" s="164"/>
      <c r="K22" s="165"/>
      <c r="L22" s="165"/>
      <c r="M22" s="165"/>
      <c r="N22" s="166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>
      <c r="A23" s="89"/>
      <c r="B23" s="90"/>
      <c r="C23" s="91"/>
      <c r="D23" s="92"/>
      <c r="E23" s="174" t="s">
        <v>34</v>
      </c>
      <c r="F23" s="174"/>
      <c r="G23" s="93">
        <f>+SUM(E18:G22)</f>
        <v>0</v>
      </c>
      <c r="H23" s="175" t="s">
        <v>35</v>
      </c>
      <c r="I23" s="175"/>
      <c r="J23" s="94">
        <f>G25*0.05</f>
        <v>800</v>
      </c>
      <c r="K23" s="121" t="s">
        <v>36</v>
      </c>
      <c r="L23" s="92"/>
      <c r="M23" s="176">
        <f>M21</f>
        <v>0</v>
      </c>
      <c r="N23" s="176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24.95" customHeight="1">
      <c r="A24" s="95"/>
      <c r="B24" s="96"/>
      <c r="C24" s="97"/>
      <c r="D24" s="98"/>
      <c r="E24" s="99"/>
      <c r="F24" s="100"/>
      <c r="G24" s="101"/>
      <c r="H24" s="102"/>
      <c r="I24" s="103"/>
      <c r="J24" s="103"/>
      <c r="K24" s="177"/>
      <c r="L24" s="177"/>
      <c r="M24" s="177"/>
      <c r="N24" s="177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24.95" customHeight="1">
      <c r="A25" s="111"/>
      <c r="B25" s="104" t="s">
        <v>37</v>
      </c>
      <c r="C25" s="105"/>
      <c r="D25" s="65"/>
      <c r="E25" s="178" t="s">
        <v>38</v>
      </c>
      <c r="F25" s="178"/>
      <c r="G25" s="106">
        <f>G16-G23</f>
        <v>16000</v>
      </c>
      <c r="H25" s="179" t="s">
        <v>39</v>
      </c>
      <c r="I25" s="179"/>
      <c r="J25" s="120">
        <f>G25-J23</f>
        <v>15200</v>
      </c>
      <c r="K25" s="180" t="s">
        <v>40</v>
      </c>
      <c r="L25" s="180"/>
      <c r="M25" s="181">
        <f>+J25-M23</f>
        <v>15200</v>
      </c>
      <c r="N25" s="181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6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:49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spans="15:49"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</sheetData>
  <mergeCells count="54">
    <mergeCell ref="E23:F23"/>
    <mergeCell ref="H23:I23"/>
    <mergeCell ref="M23:N23"/>
    <mergeCell ref="K24:N24"/>
    <mergeCell ref="E25:F25"/>
    <mergeCell ref="H25:I25"/>
    <mergeCell ref="K25:L25"/>
    <mergeCell ref="M25:N25"/>
    <mergeCell ref="C22:D22"/>
    <mergeCell ref="E22:G22"/>
    <mergeCell ref="H22:J22"/>
    <mergeCell ref="K22:N22"/>
    <mergeCell ref="C17:D17"/>
    <mergeCell ref="H17:I17"/>
    <mergeCell ref="K17:N17"/>
    <mergeCell ref="C18:D18"/>
    <mergeCell ref="E18:G18"/>
    <mergeCell ref="C19:D19"/>
    <mergeCell ref="E19:G19"/>
    <mergeCell ref="C20:D20"/>
    <mergeCell ref="E20:G20"/>
    <mergeCell ref="C21:D21"/>
    <mergeCell ref="E21:G21"/>
    <mergeCell ref="M21:N21"/>
    <mergeCell ref="A14:D14"/>
    <mergeCell ref="K14:L14"/>
    <mergeCell ref="C16:D16"/>
    <mergeCell ref="H16:J16"/>
    <mergeCell ref="K16:N16"/>
    <mergeCell ref="M7:N7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M8:M9"/>
    <mergeCell ref="N8:N9"/>
    <mergeCell ref="K6:L6"/>
    <mergeCell ref="A7:A9"/>
    <mergeCell ref="B7:B9"/>
    <mergeCell ref="C7:G7"/>
    <mergeCell ref="H7:J7"/>
    <mergeCell ref="K7:L7"/>
    <mergeCell ref="L8:L9"/>
    <mergeCell ref="H6:J6"/>
    <mergeCell ref="D1:J1"/>
    <mergeCell ref="D2:F2"/>
    <mergeCell ref="G2:J2"/>
    <mergeCell ref="D3:J3"/>
    <mergeCell ref="H5:J5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E4D2-E217-4A6D-8C3E-AF9165C32935}">
  <sheetPr>
    <pageSetUpPr fitToPage="1"/>
  </sheetPr>
  <dimension ref="A1:AW852"/>
  <sheetViews>
    <sheetView tabSelected="1" topLeftCell="B1" zoomScale="55" zoomScaleNormal="55" workbookViewId="0">
      <selection activeCell="N6" sqref="N6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132" t="s">
        <v>0</v>
      </c>
      <c r="E1" s="132"/>
      <c r="F1" s="132"/>
      <c r="G1" s="132"/>
      <c r="H1" s="132"/>
      <c r="I1" s="132"/>
      <c r="J1" s="132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133" t="s">
        <v>1</v>
      </c>
      <c r="E2" s="133"/>
      <c r="F2" s="133"/>
      <c r="G2" s="133" t="s">
        <v>2</v>
      </c>
      <c r="H2" s="133"/>
      <c r="I2" s="133"/>
      <c r="J2" s="133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133" t="s">
        <v>3</v>
      </c>
      <c r="E3" s="133"/>
      <c r="F3" s="133"/>
      <c r="G3" s="133"/>
      <c r="H3" s="133"/>
      <c r="I3" s="133"/>
      <c r="J3" s="133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TRIUNO INSTALAÇÕES LTDA</v>
      </c>
      <c r="C5" s="14"/>
      <c r="D5" s="14"/>
      <c r="E5" s="15"/>
      <c r="F5" s="15"/>
      <c r="G5" s="14"/>
      <c r="H5" s="134" t="s">
        <v>4</v>
      </c>
      <c r="I5" s="134"/>
      <c r="J5" s="134"/>
      <c r="K5" s="16" t="s">
        <v>5</v>
      </c>
      <c r="L5" s="14"/>
      <c r="M5" s="17"/>
      <c r="N5" s="18">
        <v>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142" t="s">
        <v>45</v>
      </c>
      <c r="I6" s="142"/>
      <c r="J6" s="142"/>
      <c r="K6" s="135" t="s">
        <v>7</v>
      </c>
      <c r="L6" s="135"/>
      <c r="M6" s="24"/>
      <c r="N6" s="107" t="s">
        <v>46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136" t="s">
        <v>9</v>
      </c>
      <c r="B7" s="137" t="s">
        <v>10</v>
      </c>
      <c r="C7" s="138" t="s">
        <v>11</v>
      </c>
      <c r="D7" s="138"/>
      <c r="E7" s="138"/>
      <c r="F7" s="138"/>
      <c r="G7" s="138"/>
      <c r="H7" s="139" t="s">
        <v>12</v>
      </c>
      <c r="I7" s="139"/>
      <c r="J7" s="139"/>
      <c r="K7" s="140" t="s">
        <v>13</v>
      </c>
      <c r="L7" s="140"/>
      <c r="M7" s="143" t="s">
        <v>14</v>
      </c>
      <c r="N7" s="137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136"/>
      <c r="B8" s="137"/>
      <c r="C8" s="144" t="s">
        <v>15</v>
      </c>
      <c r="D8" s="145" t="s">
        <v>16</v>
      </c>
      <c r="E8" s="146" t="s">
        <v>17</v>
      </c>
      <c r="F8" s="148" t="s">
        <v>18</v>
      </c>
      <c r="G8" s="150" t="s">
        <v>19</v>
      </c>
      <c r="H8" s="151" t="s">
        <v>16</v>
      </c>
      <c r="I8" s="152" t="s">
        <v>17</v>
      </c>
      <c r="J8" s="141" t="s">
        <v>20</v>
      </c>
      <c r="K8" s="154" t="s">
        <v>16</v>
      </c>
      <c r="L8" s="141" t="s">
        <v>21</v>
      </c>
      <c r="M8" s="143" t="s">
        <v>22</v>
      </c>
      <c r="N8" s="137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136"/>
      <c r="B9" s="137"/>
      <c r="C9" s="144"/>
      <c r="D9" s="145"/>
      <c r="E9" s="147"/>
      <c r="F9" s="149"/>
      <c r="G9" s="150"/>
      <c r="H9" s="150"/>
      <c r="I9" s="153"/>
      <c r="J9" s="141"/>
      <c r="K9" s="154"/>
      <c r="L9" s="141"/>
      <c r="M9" s="143"/>
      <c r="N9" s="137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27">
        <v>1</v>
      </c>
      <c r="B10" s="28" t="s">
        <v>41</v>
      </c>
      <c r="C10" s="114" t="s">
        <v>24</v>
      </c>
      <c r="D10" s="29">
        <v>1</v>
      </c>
      <c r="E10" s="30">
        <v>1000</v>
      </c>
      <c r="F10" s="115"/>
      <c r="G10" s="31">
        <f>E10</f>
        <v>1000</v>
      </c>
      <c r="H10" s="32">
        <f>Auxiliar!C65</f>
        <v>2</v>
      </c>
      <c r="I10" s="116">
        <f>+E10</f>
        <v>1000</v>
      </c>
      <c r="J10" s="33">
        <f>+I10*H10</f>
        <v>2000</v>
      </c>
      <c r="K10" s="34">
        <f>+H10</f>
        <v>2</v>
      </c>
      <c r="L10" s="35">
        <f>+J10</f>
        <v>2000</v>
      </c>
      <c r="M10" s="36"/>
      <c r="N10" s="37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24.95" customHeight="1">
      <c r="A11" s="39"/>
      <c r="B11" s="45"/>
      <c r="C11" s="40"/>
      <c r="D11" s="38"/>
      <c r="E11" s="46"/>
      <c r="F11" s="47"/>
      <c r="G11" s="48"/>
      <c r="H11" s="42"/>
      <c r="I11" s="108"/>
      <c r="J11" s="43"/>
      <c r="K11" s="49"/>
      <c r="L11" s="50"/>
      <c r="M11" s="44"/>
      <c r="N11" s="51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24.95" customHeight="1">
      <c r="A12" s="155"/>
      <c r="B12" s="155"/>
      <c r="C12" s="155"/>
      <c r="D12" s="155"/>
      <c r="E12" s="52"/>
      <c r="F12" s="53"/>
      <c r="G12" s="54">
        <f>SUM(G10:G10)</f>
        <v>1000</v>
      </c>
      <c r="H12" s="55"/>
      <c r="I12" s="56"/>
      <c r="J12" s="57">
        <f>SUM(J10:J10)</f>
        <v>2000</v>
      </c>
      <c r="K12" s="156" t="s">
        <v>26</v>
      </c>
      <c r="L12" s="157"/>
      <c r="M12" s="58">
        <f>+SUM(L10:L10)</f>
        <v>2000</v>
      </c>
      <c r="N12" s="5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60"/>
      <c r="B13" s="61"/>
      <c r="C13" s="61"/>
      <c r="D13" s="61"/>
      <c r="E13" s="62"/>
      <c r="F13" s="62"/>
      <c r="G13" s="62"/>
      <c r="H13" s="63"/>
      <c r="I13" s="62"/>
      <c r="J13" s="62"/>
      <c r="K13" s="62"/>
      <c r="L13" s="61"/>
      <c r="M13" s="62"/>
      <c r="N13" s="64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30" customHeight="1">
      <c r="A14" s="112"/>
      <c r="B14" s="112" t="s">
        <v>27</v>
      </c>
      <c r="C14" s="158"/>
      <c r="D14" s="158"/>
      <c r="E14" s="65"/>
      <c r="F14" s="65"/>
      <c r="G14" s="66">
        <f>J12</f>
        <v>2000</v>
      </c>
      <c r="H14" s="159" t="s">
        <v>28</v>
      </c>
      <c r="I14" s="159"/>
      <c r="J14" s="159"/>
      <c r="K14" s="160" t="s">
        <v>29</v>
      </c>
      <c r="L14" s="160"/>
      <c r="M14" s="160"/>
      <c r="N14" s="160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30" customHeight="1">
      <c r="A15" s="67" t="s">
        <v>9</v>
      </c>
      <c r="B15" s="113" t="s">
        <v>30</v>
      </c>
      <c r="C15" s="167" t="s">
        <v>31</v>
      </c>
      <c r="D15" s="167"/>
      <c r="E15" s="68"/>
      <c r="F15" s="68"/>
      <c r="G15" s="69" t="s">
        <v>32</v>
      </c>
      <c r="H15" s="168" t="s">
        <v>33</v>
      </c>
      <c r="I15" s="168"/>
      <c r="J15" s="70">
        <f>+J21+'MED 02'!J17</f>
        <v>1657.5</v>
      </c>
      <c r="K15" s="169"/>
      <c r="L15" s="169"/>
      <c r="M15" s="169"/>
      <c r="N15" s="16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>
      <c r="A16" s="109">
        <v>1</v>
      </c>
      <c r="B16" s="71"/>
      <c r="C16" s="170"/>
      <c r="D16" s="170"/>
      <c r="E16" s="171"/>
      <c r="F16" s="171"/>
      <c r="G16" s="171"/>
      <c r="H16" s="72"/>
      <c r="I16" s="73"/>
      <c r="J16" s="119"/>
      <c r="K16" s="74"/>
      <c r="L16" s="75"/>
      <c r="M16" s="76"/>
      <c r="N16" s="77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>
      <c r="A17" s="86">
        <v>2</v>
      </c>
      <c r="B17" s="110"/>
      <c r="C17" s="172"/>
      <c r="D17" s="172"/>
      <c r="E17" s="173"/>
      <c r="F17" s="173"/>
      <c r="G17" s="173"/>
      <c r="H17" s="78"/>
      <c r="I17" s="79"/>
      <c r="J17" s="79"/>
      <c r="K17" s="80"/>
      <c r="L17" s="81"/>
      <c r="M17" s="82"/>
      <c r="N17" s="83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 ht="15" customHeight="1">
      <c r="A18" s="86">
        <v>3</v>
      </c>
      <c r="B18" s="71"/>
      <c r="C18" s="170"/>
      <c r="D18" s="170"/>
      <c r="E18" s="171"/>
      <c r="F18" s="171"/>
      <c r="G18" s="171"/>
      <c r="H18" s="78"/>
      <c r="I18" s="79"/>
      <c r="J18" s="79"/>
      <c r="K18" s="80"/>
      <c r="L18" s="81"/>
      <c r="M18" s="82"/>
      <c r="N18" s="83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6">
        <v>4</v>
      </c>
      <c r="B19" s="71"/>
      <c r="C19" s="170"/>
      <c r="D19" s="170"/>
      <c r="E19" s="171"/>
      <c r="F19" s="171"/>
      <c r="G19" s="171"/>
      <c r="H19" s="78"/>
      <c r="I19" s="79"/>
      <c r="J19" s="79"/>
      <c r="K19" s="84"/>
      <c r="L19" s="85"/>
      <c r="M19" s="171"/>
      <c r="N19" s="171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>
      <c r="A20" s="87">
        <v>5</v>
      </c>
      <c r="B20" s="88"/>
      <c r="C20" s="161"/>
      <c r="D20" s="161"/>
      <c r="E20" s="162"/>
      <c r="F20" s="162"/>
      <c r="G20" s="162"/>
      <c r="H20" s="163"/>
      <c r="I20" s="163"/>
      <c r="J20" s="164"/>
      <c r="K20" s="165"/>
      <c r="L20" s="165"/>
      <c r="M20" s="165"/>
      <c r="N20" s="166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 ht="24.95" customHeight="1">
      <c r="A21" s="89"/>
      <c r="B21" s="90"/>
      <c r="C21" s="91"/>
      <c r="D21" s="92"/>
      <c r="E21" s="174" t="s">
        <v>34</v>
      </c>
      <c r="F21" s="174"/>
      <c r="G21" s="93">
        <f>+SUM(E16:G20)</f>
        <v>0</v>
      </c>
      <c r="H21" s="175" t="s">
        <v>35</v>
      </c>
      <c r="I21" s="175"/>
      <c r="J21" s="94">
        <f>G23*0.05</f>
        <v>100</v>
      </c>
      <c r="K21" s="121" t="s">
        <v>36</v>
      </c>
      <c r="L21" s="92"/>
      <c r="M21" s="176">
        <f>M19</f>
        <v>0</v>
      </c>
      <c r="N21" s="176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24.95" customHeight="1">
      <c r="A22" s="95"/>
      <c r="B22" s="96"/>
      <c r="C22" s="97"/>
      <c r="D22" s="98"/>
      <c r="E22" s="99"/>
      <c r="F22" s="100"/>
      <c r="G22" s="101"/>
      <c r="H22" s="102"/>
      <c r="I22" s="103"/>
      <c r="J22" s="103"/>
      <c r="K22" s="177"/>
      <c r="L22" s="177"/>
      <c r="M22" s="177"/>
      <c r="N22" s="177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>
      <c r="A23" s="111"/>
      <c r="B23" s="104" t="s">
        <v>37</v>
      </c>
      <c r="C23" s="105"/>
      <c r="D23" s="65"/>
      <c r="E23" s="178" t="s">
        <v>38</v>
      </c>
      <c r="F23" s="178"/>
      <c r="G23" s="106">
        <f>G14-G21</f>
        <v>2000</v>
      </c>
      <c r="H23" s="179" t="s">
        <v>39</v>
      </c>
      <c r="I23" s="179"/>
      <c r="J23" s="120">
        <f>G23-J21</f>
        <v>1900</v>
      </c>
      <c r="K23" s="180" t="s">
        <v>40</v>
      </c>
      <c r="L23" s="180"/>
      <c r="M23" s="181">
        <f>+J23-M21</f>
        <v>1900</v>
      </c>
      <c r="N23" s="181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6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5:49"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5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5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5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5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5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5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5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5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5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5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5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5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5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5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5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</sheetData>
  <mergeCells count="54">
    <mergeCell ref="E21:F21"/>
    <mergeCell ref="H21:I21"/>
    <mergeCell ref="M21:N21"/>
    <mergeCell ref="K22:N22"/>
    <mergeCell ref="E23:F23"/>
    <mergeCell ref="H23:I23"/>
    <mergeCell ref="K23:L23"/>
    <mergeCell ref="M23:N23"/>
    <mergeCell ref="C18:D18"/>
    <mergeCell ref="E18:G18"/>
    <mergeCell ref="C19:D19"/>
    <mergeCell ref="E19:G19"/>
    <mergeCell ref="M19:N19"/>
    <mergeCell ref="C20:D20"/>
    <mergeCell ref="E20:G20"/>
    <mergeCell ref="H20:J20"/>
    <mergeCell ref="K20:N20"/>
    <mergeCell ref="C15:D15"/>
    <mergeCell ref="H15:I15"/>
    <mergeCell ref="K15:N15"/>
    <mergeCell ref="C16:D16"/>
    <mergeCell ref="E16:G16"/>
    <mergeCell ref="C17:D17"/>
    <mergeCell ref="E17:G17"/>
    <mergeCell ref="M8:M9"/>
    <mergeCell ref="N8:N9"/>
    <mergeCell ref="A12:D12"/>
    <mergeCell ref="K12:L12"/>
    <mergeCell ref="C14:D14"/>
    <mergeCell ref="H14:J14"/>
    <mergeCell ref="K14:N14"/>
    <mergeCell ref="M7:N7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K6:L6"/>
    <mergeCell ref="A7:A9"/>
    <mergeCell ref="B7:B9"/>
    <mergeCell ref="C7:G7"/>
    <mergeCell ref="H7:J7"/>
    <mergeCell ref="K7:L7"/>
    <mergeCell ref="L8:L9"/>
    <mergeCell ref="D1:J1"/>
    <mergeCell ref="D2:F2"/>
    <mergeCell ref="G2:J2"/>
    <mergeCell ref="D3:J3"/>
    <mergeCell ref="H5:J5"/>
    <mergeCell ref="H6:J6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C9BB-2DFF-457D-A9D1-61FE55D1BBA2}">
  <dimension ref="B2:D65"/>
  <sheetViews>
    <sheetView topLeftCell="A48" workbookViewId="0">
      <selection activeCell="B55" sqref="B55:B64"/>
    </sheetView>
  </sheetViews>
  <sheetFormatPr defaultRowHeight="15"/>
  <cols>
    <col min="2" max="2" width="11.42578125" bestFit="1" customWidth="1"/>
  </cols>
  <sheetData>
    <row r="2" spans="2:4">
      <c r="B2" s="182" t="s">
        <v>47</v>
      </c>
      <c r="C2" s="183"/>
      <c r="D2" s="184"/>
    </row>
    <row r="3" spans="2:4">
      <c r="B3" s="122" t="s">
        <v>48</v>
      </c>
      <c r="C3" s="123" t="s">
        <v>48</v>
      </c>
      <c r="D3" s="124" t="s">
        <v>48</v>
      </c>
    </row>
    <row r="4" spans="2:4">
      <c r="B4" s="122" t="s">
        <v>48</v>
      </c>
      <c r="C4" s="125" t="s">
        <v>49</v>
      </c>
      <c r="D4" s="126" t="s">
        <v>50</v>
      </c>
    </row>
    <row r="5" spans="2:4">
      <c r="B5" s="127">
        <v>46056</v>
      </c>
      <c r="C5" s="125"/>
      <c r="D5" s="126"/>
    </row>
    <row r="6" spans="2:4">
      <c r="B6" s="127">
        <v>46057</v>
      </c>
      <c r="C6" s="125"/>
      <c r="D6" s="126"/>
    </row>
    <row r="7" spans="2:4">
      <c r="B7" s="127">
        <v>46058</v>
      </c>
      <c r="C7" s="125">
        <v>2</v>
      </c>
      <c r="D7" s="126"/>
    </row>
    <row r="8" spans="2:4">
      <c r="B8" s="127">
        <v>46059</v>
      </c>
      <c r="C8" s="123">
        <v>2</v>
      </c>
      <c r="D8" s="124"/>
    </row>
    <row r="9" spans="2:4">
      <c r="B9" s="127">
        <v>46062</v>
      </c>
      <c r="C9" s="123">
        <v>2</v>
      </c>
      <c r="D9" s="124"/>
    </row>
    <row r="10" spans="2:4">
      <c r="B10" s="127">
        <v>46063</v>
      </c>
      <c r="C10" s="123">
        <v>2</v>
      </c>
      <c r="D10" s="124">
        <v>1</v>
      </c>
    </row>
    <row r="11" spans="2:4">
      <c r="B11" s="127">
        <v>46064</v>
      </c>
      <c r="C11" s="123">
        <v>2</v>
      </c>
      <c r="D11" s="124">
        <v>1</v>
      </c>
    </row>
    <row r="12" spans="2:4">
      <c r="B12" s="127">
        <v>46065</v>
      </c>
      <c r="C12" s="123">
        <v>2</v>
      </c>
      <c r="D12" s="124">
        <v>1</v>
      </c>
    </row>
    <row r="13" spans="2:4">
      <c r="B13" s="127">
        <v>46066</v>
      </c>
      <c r="C13" s="123">
        <v>2</v>
      </c>
      <c r="D13" s="124">
        <v>1</v>
      </c>
    </row>
    <row r="14" spans="2:4">
      <c r="B14" s="127">
        <v>46069</v>
      </c>
      <c r="C14" s="123"/>
      <c r="D14" s="124"/>
    </row>
    <row r="15" spans="2:4">
      <c r="B15" s="127">
        <v>46070</v>
      </c>
      <c r="C15" s="123"/>
      <c r="D15" s="124"/>
    </row>
    <row r="16" spans="2:4">
      <c r="B16" s="127">
        <v>46071</v>
      </c>
      <c r="C16" s="123">
        <v>2</v>
      </c>
      <c r="D16" s="124">
        <v>1</v>
      </c>
    </row>
    <row r="17" spans="2:4">
      <c r="B17" s="127">
        <v>46072</v>
      </c>
      <c r="C17" s="123">
        <v>2</v>
      </c>
      <c r="D17" s="124">
        <v>1</v>
      </c>
    </row>
    <row r="18" spans="2:4">
      <c r="B18" s="127">
        <v>46073</v>
      </c>
      <c r="C18" s="123">
        <v>2</v>
      </c>
      <c r="D18" s="124"/>
    </row>
    <row r="19" spans="2:4">
      <c r="B19" s="128">
        <v>46076</v>
      </c>
      <c r="C19" s="123">
        <v>2</v>
      </c>
      <c r="D19" s="124"/>
    </row>
    <row r="20" spans="2:4">
      <c r="B20" s="129" t="s">
        <v>51</v>
      </c>
      <c r="C20" s="130">
        <f>SUM(C5:C19)</f>
        <v>22</v>
      </c>
      <c r="D20" s="130">
        <f>SUM(D5:D19)</f>
        <v>6</v>
      </c>
    </row>
    <row r="22" spans="2:4">
      <c r="B22" s="182" t="s">
        <v>52</v>
      </c>
      <c r="C22" s="183"/>
      <c r="D22" s="184"/>
    </row>
    <row r="23" spans="2:4">
      <c r="B23" s="122" t="s">
        <v>48</v>
      </c>
      <c r="C23" s="123" t="s">
        <v>48</v>
      </c>
      <c r="D23" s="124" t="s">
        <v>48</v>
      </c>
    </row>
    <row r="24" spans="2:4">
      <c r="B24" s="122" t="s">
        <v>48</v>
      </c>
      <c r="C24" s="125" t="s">
        <v>53</v>
      </c>
      <c r="D24" s="126" t="s">
        <v>54</v>
      </c>
    </row>
    <row r="25" spans="2:4">
      <c r="B25" s="127">
        <v>46077</v>
      </c>
      <c r="C25" s="125">
        <v>1</v>
      </c>
      <c r="D25" s="126"/>
    </row>
    <row r="26" spans="2:4">
      <c r="B26" s="127">
        <v>46078</v>
      </c>
      <c r="C26" s="125">
        <v>1</v>
      </c>
      <c r="D26" s="126"/>
    </row>
    <row r="27" spans="2:4">
      <c r="B27" s="127">
        <v>46079</v>
      </c>
      <c r="C27" s="125">
        <v>1</v>
      </c>
      <c r="D27" s="126"/>
    </row>
    <row r="28" spans="2:4">
      <c r="B28" s="127">
        <v>46080</v>
      </c>
      <c r="C28" s="123">
        <v>1</v>
      </c>
      <c r="D28" s="124"/>
    </row>
    <row r="29" spans="2:4">
      <c r="B29" s="127">
        <v>46083</v>
      </c>
      <c r="C29" s="123">
        <v>1</v>
      </c>
      <c r="D29" s="124"/>
    </row>
    <row r="30" spans="2:4">
      <c r="B30" s="127">
        <v>46084</v>
      </c>
      <c r="C30" s="123">
        <v>1</v>
      </c>
      <c r="D30" s="124">
        <v>1</v>
      </c>
    </row>
    <row r="31" spans="2:4">
      <c r="B31" s="127">
        <v>46085</v>
      </c>
      <c r="C31" s="123">
        <v>1</v>
      </c>
      <c r="D31" s="124">
        <v>1</v>
      </c>
    </row>
    <row r="32" spans="2:4">
      <c r="B32" s="127">
        <v>46086</v>
      </c>
      <c r="C32" s="123">
        <v>1</v>
      </c>
      <c r="D32" s="124">
        <v>0.5</v>
      </c>
    </row>
    <row r="33" spans="2:4">
      <c r="B33" s="127">
        <v>46087</v>
      </c>
      <c r="C33" s="123">
        <v>1</v>
      </c>
      <c r="D33" s="124">
        <v>1</v>
      </c>
    </row>
    <row r="34" spans="2:4">
      <c r="B34" s="129" t="s">
        <v>51</v>
      </c>
      <c r="C34" s="130">
        <f>SUM(C25:C33)</f>
        <v>9</v>
      </c>
      <c r="D34" s="130">
        <f>SUM(D25:D33)</f>
        <v>3.5</v>
      </c>
    </row>
    <row r="36" spans="2:4">
      <c r="B36" s="182" t="s">
        <v>55</v>
      </c>
      <c r="C36" s="183"/>
      <c r="D36" s="184"/>
    </row>
    <row r="37" spans="2:4">
      <c r="B37" s="122" t="s">
        <v>48</v>
      </c>
      <c r="C37" s="123" t="s">
        <v>48</v>
      </c>
      <c r="D37" s="124" t="s">
        <v>48</v>
      </c>
    </row>
    <row r="38" spans="2:4">
      <c r="B38" s="122" t="s">
        <v>48</v>
      </c>
      <c r="C38" s="125" t="s">
        <v>53</v>
      </c>
      <c r="D38" s="126" t="s">
        <v>54</v>
      </c>
    </row>
    <row r="39" spans="2:4">
      <c r="B39" s="131">
        <v>46090</v>
      </c>
      <c r="C39" s="125">
        <v>1</v>
      </c>
      <c r="D39" s="126">
        <v>1</v>
      </c>
    </row>
    <row r="40" spans="2:4">
      <c r="B40" s="131">
        <v>46091</v>
      </c>
      <c r="C40" s="125">
        <v>1</v>
      </c>
      <c r="D40" s="126">
        <v>1</v>
      </c>
    </row>
    <row r="41" spans="2:4">
      <c r="B41" s="131">
        <v>46092</v>
      </c>
      <c r="C41" s="125">
        <v>1</v>
      </c>
      <c r="D41" s="126">
        <v>1</v>
      </c>
    </row>
    <row r="42" spans="2:4">
      <c r="B42" s="131">
        <v>46093</v>
      </c>
      <c r="C42" s="123">
        <v>1</v>
      </c>
      <c r="D42" s="124">
        <v>1</v>
      </c>
    </row>
    <row r="43" spans="2:4">
      <c r="B43" s="131">
        <v>46094</v>
      </c>
      <c r="C43" s="123">
        <v>1</v>
      </c>
      <c r="D43" s="124">
        <v>1</v>
      </c>
    </row>
    <row r="44" spans="2:4">
      <c r="B44" s="131">
        <v>46097</v>
      </c>
      <c r="C44" s="123">
        <v>1</v>
      </c>
      <c r="D44" s="124">
        <v>1</v>
      </c>
    </row>
    <row r="45" spans="2:4">
      <c r="B45" s="131">
        <v>46098</v>
      </c>
      <c r="C45" s="123">
        <v>1</v>
      </c>
      <c r="D45" s="124">
        <v>1</v>
      </c>
    </row>
    <row r="46" spans="2:4">
      <c r="B46" s="131">
        <v>46099</v>
      </c>
      <c r="C46" s="123">
        <v>1</v>
      </c>
      <c r="D46" s="124"/>
    </row>
    <row r="47" spans="2:4">
      <c r="B47" s="131">
        <v>46100</v>
      </c>
      <c r="C47" s="123"/>
      <c r="D47" s="124"/>
    </row>
    <row r="48" spans="2:4">
      <c r="B48" s="131">
        <v>46101</v>
      </c>
      <c r="C48" s="123"/>
      <c r="D48" s="124"/>
    </row>
    <row r="49" spans="2:4">
      <c r="B49" s="131">
        <v>46104</v>
      </c>
      <c r="C49" s="123">
        <v>1</v>
      </c>
      <c r="D49" s="124"/>
    </row>
    <row r="50" spans="2:4">
      <c r="B50" s="129" t="s">
        <v>51</v>
      </c>
      <c r="C50" s="130">
        <f>SUM(C39:C49)</f>
        <v>9</v>
      </c>
      <c r="D50" s="130">
        <f>SUM(D39:D49)</f>
        <v>7</v>
      </c>
    </row>
    <row r="52" spans="2:4">
      <c r="B52" s="182" t="s">
        <v>56</v>
      </c>
      <c r="C52" s="183"/>
      <c r="D52" s="184"/>
    </row>
    <row r="53" spans="2:4">
      <c r="B53" s="122" t="s">
        <v>48</v>
      </c>
      <c r="C53" s="123" t="s">
        <v>48</v>
      </c>
      <c r="D53" s="124" t="s">
        <v>48</v>
      </c>
    </row>
    <row r="54" spans="2:4">
      <c r="B54" s="122" t="s">
        <v>48</v>
      </c>
      <c r="C54" s="125" t="s">
        <v>53</v>
      </c>
      <c r="D54" s="126" t="s">
        <v>54</v>
      </c>
    </row>
    <row r="55" spans="2:4">
      <c r="B55" s="131">
        <v>46105</v>
      </c>
      <c r="C55" s="125">
        <v>1</v>
      </c>
      <c r="D55" s="126"/>
    </row>
    <row r="56" spans="2:4">
      <c r="B56" s="131">
        <v>46106</v>
      </c>
      <c r="C56" s="125">
        <v>1</v>
      </c>
      <c r="D56" s="126"/>
    </row>
    <row r="57" spans="2:4">
      <c r="B57" s="131">
        <v>46107</v>
      </c>
      <c r="C57" s="125"/>
      <c r="D57" s="126"/>
    </row>
    <row r="58" spans="2:4">
      <c r="B58" s="131">
        <v>46108</v>
      </c>
      <c r="C58" s="123"/>
      <c r="D58" s="124"/>
    </row>
    <row r="59" spans="2:4">
      <c r="B59" s="131">
        <v>46111</v>
      </c>
      <c r="C59" s="123"/>
      <c r="D59" s="124"/>
    </row>
    <row r="60" spans="2:4">
      <c r="B60" s="131">
        <v>46112</v>
      </c>
      <c r="C60" s="123"/>
      <c r="D60" s="124"/>
    </row>
    <row r="61" spans="2:4">
      <c r="B61" s="131">
        <v>46113</v>
      </c>
      <c r="C61" s="123"/>
      <c r="D61" s="124"/>
    </row>
    <row r="62" spans="2:4">
      <c r="B62" s="131">
        <v>46114</v>
      </c>
      <c r="C62" s="123"/>
      <c r="D62" s="124"/>
    </row>
    <row r="63" spans="2:4">
      <c r="B63" s="131">
        <v>46118</v>
      </c>
      <c r="C63" s="123"/>
      <c r="D63" s="124"/>
    </row>
    <row r="64" spans="2:4">
      <c r="B64" s="131">
        <v>46119</v>
      </c>
      <c r="C64" s="123"/>
      <c r="D64" s="124"/>
    </row>
    <row r="65" spans="2:4">
      <c r="B65" s="129" t="s">
        <v>51</v>
      </c>
      <c r="C65" s="130">
        <f>SUM(C55:C64)</f>
        <v>2</v>
      </c>
      <c r="D65" s="130">
        <f>SUM(D55:D64)</f>
        <v>0</v>
      </c>
    </row>
  </sheetData>
  <mergeCells count="4">
    <mergeCell ref="B2:D2"/>
    <mergeCell ref="B22:D22"/>
    <mergeCell ref="B36:D36"/>
    <mergeCell ref="B52:D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Estevao</dc:creator>
  <cp:keywords/>
  <dc:description/>
  <cp:lastModifiedBy>andre.birchal@farkasconstrutora.com.br</cp:lastModifiedBy>
  <cp:revision>1</cp:revision>
  <dcterms:created xsi:type="dcterms:W3CDTF">2020-11-18T13:56:05Z</dcterms:created>
  <dcterms:modified xsi:type="dcterms:W3CDTF">2026-04-07T13:17:56Z</dcterms:modified>
  <cp:category/>
  <cp:contentStatus/>
</cp:coreProperties>
</file>