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907" documentId="13_ncr:1_{D089F14C-DDE0-4318-B542-0C6A83561EFE}" xr6:coauthVersionLast="47" xr6:coauthVersionMax="47" xr10:uidLastSave="{A5264A6C-E15A-41B9-BB43-D287E88D58A7}"/>
  <bookViews>
    <workbookView xWindow="-120" yWindow="-120" windowWidth="20730" windowHeight="11040" tabRatio="500" firstSheet="4" activeTab="4" xr2:uid="{00000000-000D-0000-FFFF-FFFF00000000}"/>
  </bookViews>
  <sheets>
    <sheet name="MED 01" sheetId="7" r:id="rId1"/>
    <sheet name="MED 02" sheetId="9" r:id="rId2"/>
    <sheet name="MED 03" sheetId="10" r:id="rId3"/>
    <sheet name="MED 04" sheetId="11" r:id="rId4"/>
    <sheet name="MED 05" sheetId="12" r:id="rId5"/>
    <sheet name="Auxiliar" sheetId="8" r:id="rId6"/>
  </sheets>
  <definedNames>
    <definedName name="_xlnm.Print_Area" localSheetId="0">'MED 01'!$A$1:$N$25</definedName>
    <definedName name="_xlnm.Print_Area" localSheetId="1">'MED 02'!$A$1:$N$25</definedName>
    <definedName name="_xlnm.Print_Area" localSheetId="2">'MED 03'!$A$1:$N$25</definedName>
    <definedName name="_xlnm.Print_Area" localSheetId="3">'MED 04'!$A$1:$N$28</definedName>
    <definedName name="_xlnm.Print_Area" localSheetId="4">'MED 05'!$A$1:$N$28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1" i="12" l="1"/>
  <c r="L15" i="12"/>
  <c r="L14" i="12"/>
  <c r="L16" i="12"/>
  <c r="L13" i="12"/>
  <c r="L12" i="12"/>
  <c r="K13" i="12"/>
  <c r="K12" i="12"/>
  <c r="K11" i="12"/>
  <c r="K14" i="12"/>
  <c r="K16" i="12"/>
  <c r="K15" i="12"/>
  <c r="J71" i="8"/>
  <c r="J76" i="8"/>
  <c r="J77" i="8"/>
  <c r="J78" i="8"/>
  <c r="H15" i="12"/>
  <c r="H14" i="12"/>
  <c r="H13" i="12"/>
  <c r="E25" i="12"/>
  <c r="E18" i="10"/>
  <c r="M73" i="8"/>
  <c r="M72" i="8"/>
  <c r="H16" i="12" s="1"/>
  <c r="M74" i="8"/>
  <c r="M75" i="8"/>
  <c r="M71" i="8"/>
  <c r="J79" i="8"/>
  <c r="J75" i="8"/>
  <c r="J74" i="8"/>
  <c r="J73" i="8"/>
  <c r="J72" i="8"/>
  <c r="J70" i="8"/>
  <c r="F81" i="8"/>
  <c r="H10" i="12" s="1"/>
  <c r="K10" i="12" s="1"/>
  <c r="E81" i="8"/>
  <c r="H11" i="12" s="1"/>
  <c r="D81" i="8"/>
  <c r="C81" i="8"/>
  <c r="H12" i="12" s="1"/>
  <c r="M26" i="12"/>
  <c r="E24" i="12"/>
  <c r="E23" i="12"/>
  <c r="E22" i="12"/>
  <c r="G26" i="12"/>
  <c r="I16" i="12"/>
  <c r="G16" i="12"/>
  <c r="I15" i="12"/>
  <c r="G15" i="12"/>
  <c r="I14" i="12"/>
  <c r="G14" i="12"/>
  <c r="I13" i="12"/>
  <c r="G13" i="12"/>
  <c r="I12" i="12"/>
  <c r="G12" i="12"/>
  <c r="I11" i="12"/>
  <c r="G11" i="12"/>
  <c r="I10" i="12"/>
  <c r="G10" i="12"/>
  <c r="G17" i="12" s="1"/>
  <c r="B6" i="12"/>
  <c r="B5" i="12"/>
  <c r="P61" i="8"/>
  <c r="P60" i="8"/>
  <c r="P59" i="8"/>
  <c r="P58" i="8"/>
  <c r="P57" i="8"/>
  <c r="P56" i="8"/>
  <c r="G17" i="11"/>
  <c r="J57" i="8"/>
  <c r="I16" i="11"/>
  <c r="G16" i="11"/>
  <c r="J65" i="8"/>
  <c r="J64" i="8"/>
  <c r="J63" i="8"/>
  <c r="J62" i="8"/>
  <c r="J61" i="8"/>
  <c r="J60" i="8"/>
  <c r="M58" i="8" s="1"/>
  <c r="I13" i="11"/>
  <c r="I14" i="11"/>
  <c r="I15" i="11"/>
  <c r="I12" i="11"/>
  <c r="G13" i="11"/>
  <c r="G14" i="11"/>
  <c r="G15" i="11"/>
  <c r="J59" i="8"/>
  <c r="J58" i="8"/>
  <c r="J56" i="8"/>
  <c r="M57" i="8" s="1"/>
  <c r="J55" i="8"/>
  <c r="M56" i="8" s="1"/>
  <c r="J54" i="8"/>
  <c r="M55" i="8" s="1"/>
  <c r="E22" i="11"/>
  <c r="F65" i="8"/>
  <c r="H10" i="11" s="1"/>
  <c r="E65" i="8"/>
  <c r="H11" i="11" s="1"/>
  <c r="D65" i="8"/>
  <c r="C65" i="8"/>
  <c r="H12" i="11" s="1"/>
  <c r="M26" i="11"/>
  <c r="E24" i="11"/>
  <c r="E23" i="11"/>
  <c r="E21" i="11"/>
  <c r="G26" i="11" s="1"/>
  <c r="G12" i="11"/>
  <c r="I11" i="11"/>
  <c r="G11" i="11"/>
  <c r="I10" i="11"/>
  <c r="G10" i="11"/>
  <c r="B6" i="11"/>
  <c r="B5" i="11"/>
  <c r="E21" i="10"/>
  <c r="E20" i="10"/>
  <c r="C50" i="8"/>
  <c r="H12" i="10" s="1"/>
  <c r="E50" i="8"/>
  <c r="H11" i="10" s="1"/>
  <c r="K11" i="10" s="1"/>
  <c r="F50" i="8"/>
  <c r="H10" i="10" s="1"/>
  <c r="K10" i="10" s="1"/>
  <c r="D50" i="8"/>
  <c r="M23" i="10"/>
  <c r="G23" i="10"/>
  <c r="I12" i="10"/>
  <c r="G12" i="10"/>
  <c r="I11" i="10"/>
  <c r="G11" i="10"/>
  <c r="I10" i="10"/>
  <c r="G10" i="10"/>
  <c r="G14" i="10" s="1"/>
  <c r="B6" i="10"/>
  <c r="B5" i="10"/>
  <c r="E20" i="9"/>
  <c r="E19" i="9"/>
  <c r="E18" i="9"/>
  <c r="E21" i="9"/>
  <c r="F34" i="8"/>
  <c r="E34" i="8"/>
  <c r="D34" i="8"/>
  <c r="C34" i="8"/>
  <c r="M23" i="9"/>
  <c r="G23" i="9"/>
  <c r="I12" i="9"/>
  <c r="G12" i="9"/>
  <c r="I11" i="9"/>
  <c r="G11" i="9"/>
  <c r="I10" i="9"/>
  <c r="G10" i="9"/>
  <c r="G14" i="9" s="1"/>
  <c r="B6" i="9"/>
  <c r="B5" i="9"/>
  <c r="C20" i="8"/>
  <c r="F20" i="8"/>
  <c r="E20" i="8"/>
  <c r="D20" i="8"/>
  <c r="I11" i="7"/>
  <c r="G11" i="7"/>
  <c r="I10" i="7"/>
  <c r="G10" i="7"/>
  <c r="B5" i="7"/>
  <c r="K10" i="11" l="1"/>
  <c r="J10" i="11"/>
  <c r="H13" i="11"/>
  <c r="H14" i="11"/>
  <c r="K14" i="11" s="1"/>
  <c r="H15" i="11"/>
  <c r="H16" i="11"/>
  <c r="J11" i="12"/>
  <c r="L10" i="12"/>
  <c r="J10" i="12"/>
  <c r="J12" i="12"/>
  <c r="J13" i="12"/>
  <c r="J14" i="12"/>
  <c r="J15" i="12"/>
  <c r="J16" i="12"/>
  <c r="K16" i="11"/>
  <c r="J16" i="11"/>
  <c r="L16" i="11" s="1"/>
  <c r="J14" i="11"/>
  <c r="K15" i="11"/>
  <c r="J15" i="11"/>
  <c r="L15" i="11" s="1"/>
  <c r="K13" i="11"/>
  <c r="J13" i="11"/>
  <c r="L13" i="11" s="1"/>
  <c r="J11" i="11"/>
  <c r="J12" i="11"/>
  <c r="J17" i="11" s="1"/>
  <c r="H12" i="9"/>
  <c r="K12" i="10"/>
  <c r="K12" i="11" s="1"/>
  <c r="H11" i="9"/>
  <c r="J11" i="9" s="1"/>
  <c r="K11" i="11"/>
  <c r="H10" i="9"/>
  <c r="L10" i="11"/>
  <c r="J10" i="10"/>
  <c r="L10" i="10" s="1"/>
  <c r="J11" i="10"/>
  <c r="L11" i="10" s="1"/>
  <c r="J12" i="10"/>
  <c r="L12" i="10" s="1"/>
  <c r="K11" i="9"/>
  <c r="H11" i="7"/>
  <c r="K10" i="9"/>
  <c r="H10" i="7"/>
  <c r="K12" i="9"/>
  <c r="H12" i="7"/>
  <c r="K12" i="7" s="1"/>
  <c r="J10" i="9"/>
  <c r="L11" i="9"/>
  <c r="J12" i="9"/>
  <c r="L12" i="9" s="1"/>
  <c r="M23" i="7"/>
  <c r="G23" i="7"/>
  <c r="I12" i="7"/>
  <c r="J12" i="7" s="1"/>
  <c r="L12" i="7" s="1"/>
  <c r="G12" i="7"/>
  <c r="G14" i="7" s="1"/>
  <c r="B6" i="7"/>
  <c r="L11" i="11" l="1"/>
  <c r="L11" i="12"/>
  <c r="L12" i="11"/>
  <c r="M17" i="12"/>
  <c r="J17" i="12"/>
  <c r="G19" i="12" s="1"/>
  <c r="L14" i="11"/>
  <c r="G19" i="11"/>
  <c r="G28" i="11" s="1"/>
  <c r="J14" i="10"/>
  <c r="G16" i="10" s="1"/>
  <c r="G25" i="10" s="1"/>
  <c r="M14" i="10"/>
  <c r="K10" i="7"/>
  <c r="J10" i="7"/>
  <c r="L10" i="7" s="1"/>
  <c r="K11" i="7"/>
  <c r="J11" i="7"/>
  <c r="L11" i="7" s="1"/>
  <c r="J14" i="9"/>
  <c r="G16" i="9" s="1"/>
  <c r="G25" i="9" s="1"/>
  <c r="L10" i="9"/>
  <c r="M14" i="9" s="1"/>
  <c r="M14" i="7"/>
  <c r="J14" i="7"/>
  <c r="G16" i="7" s="1"/>
  <c r="G25" i="7" s="1"/>
  <c r="J23" i="7" s="1"/>
  <c r="G28" i="12" l="1"/>
  <c r="J26" i="12"/>
  <c r="J20" i="12" s="1"/>
  <c r="M17" i="11"/>
  <c r="J26" i="11"/>
  <c r="J23" i="10"/>
  <c r="J23" i="9"/>
  <c r="J17" i="7"/>
  <c r="J28" i="12" l="1"/>
  <c r="M28" i="12" s="1"/>
  <c r="J17" i="9"/>
  <c r="J17" i="10"/>
  <c r="J20" i="11" s="1"/>
  <c r="J28" i="11"/>
  <c r="M28" i="11" s="1"/>
  <c r="J25" i="10"/>
  <c r="M25" i="10" s="1"/>
  <c r="J25" i="9"/>
  <c r="M25" i="9" s="1"/>
  <c r="J25" i="7"/>
  <c r="M25" i="7" s="1"/>
</calcChain>
</file>

<file path=xl/sharedStrings.xml><?xml version="1.0" encoding="utf-8"?>
<sst xmlns="http://schemas.openxmlformats.org/spreadsheetml/2006/main" count="455" uniqueCount="109">
  <si>
    <t>OBRA: FKR-018 - RIL</t>
  </si>
  <si>
    <t xml:space="preserve">FORNECEDOR: </t>
  </si>
  <si>
    <t>ELEVARE ENGENHARIA E CONSTRUÇÕES LTDA</t>
  </si>
  <si>
    <t>PLANILHA DE MEDIÇÃO DE SERVIÇOS - CONTRATUAL</t>
  </si>
  <si>
    <t>PERÍODO MEDIÇÃO</t>
  </si>
  <si>
    <t>BM-Nº</t>
  </si>
  <si>
    <t>DE 09/02/2026 a 23/02/2026</t>
  </si>
  <si>
    <t>VENCIMENTO</t>
  </si>
  <si>
    <t>28/02/2026</t>
  </si>
  <si>
    <t>ITEM</t>
  </si>
  <si>
    <t xml:space="preserve">1BN </t>
  </si>
  <si>
    <t>CONTRATUAL</t>
  </si>
  <si>
    <t>ESTA MEDIÇÃO</t>
  </si>
  <si>
    <t>ACUMULADO ATUAL</t>
  </si>
  <si>
    <t>SALDO À MEDIR</t>
  </si>
  <si>
    <t>%</t>
  </si>
  <si>
    <t>Qtde</t>
  </si>
  <si>
    <t>TOTAL CONTRATUAL</t>
  </si>
  <si>
    <t>TOTAL DESTA MEDIÇÃO</t>
  </si>
  <si>
    <t>TOTAL ACUMULADO ANTERIOR</t>
  </si>
  <si>
    <t>SALDO</t>
  </si>
  <si>
    <t>VALOR UNITÁRIO</t>
  </si>
  <si>
    <t>VALOR TOTAL</t>
  </si>
  <si>
    <t>DIÁRIA DE SERVENTE</t>
  </si>
  <si>
    <t>DIA</t>
  </si>
  <si>
    <t>DIÁRIA DE MEIO-OFICIAL</t>
  </si>
  <si>
    <t>DIÁRIA DE PEDREIRO</t>
  </si>
  <si>
    <t>T. ACUM. ATUAL</t>
  </si>
  <si>
    <t>FATURAMENTO DIRETO</t>
  </si>
  <si>
    <t>RETENÇÃO CONTRATUAL - 5%</t>
  </si>
  <si>
    <t>RETENÇÃO IMPOSTOS</t>
  </si>
  <si>
    <t>FORNECEDOR/PRODUTO</t>
  </si>
  <si>
    <t>NF/QUANTIDADE</t>
  </si>
  <si>
    <t>VALOR</t>
  </si>
  <si>
    <t>ACUMULADA, INC. ESTA</t>
  </si>
  <si>
    <t>VALOR  FAT. DIRETO</t>
  </si>
  <si>
    <t>VALOR RETENÇÃO TÉCNICA</t>
  </si>
  <si>
    <t>VALOR RETENÇÃO IMPOSTOS</t>
  </si>
  <si>
    <t>FARKAS CONSTRUTORA</t>
  </si>
  <si>
    <t>VALOR - FAT. DIRETO</t>
  </si>
  <si>
    <t>VALOR - RETENÇÃO</t>
  </si>
  <si>
    <t>VALOR NF A SER EMITIDA</t>
  </si>
  <si>
    <t>BOTA DE BORRACHA</t>
  </si>
  <si>
    <t>OCULOS</t>
  </si>
  <si>
    <t>CAPA</t>
  </si>
  <si>
    <t>LUVA</t>
  </si>
  <si>
    <t>DE 09/03/2026 a 23/03/2026</t>
  </si>
  <si>
    <t>30/03/2026</t>
  </si>
  <si>
    <t xml:space="preserve">LUVA </t>
  </si>
  <si>
    <t xml:space="preserve">BOTA </t>
  </si>
  <si>
    <t xml:space="preserve">OCULOS </t>
  </si>
  <si>
    <t>DE 24/03/2026 a 07/04/2026</t>
  </si>
  <si>
    <t>15/04/2026</t>
  </si>
  <si>
    <t>CONTRAPISO</t>
  </si>
  <si>
    <t>M2</t>
  </si>
  <si>
    <t>REBOCO EXTERNO</t>
  </si>
  <si>
    <t>CHAPISCO</t>
  </si>
  <si>
    <t>TALISCAMENTO</t>
  </si>
  <si>
    <t>LUVA NITRILON</t>
  </si>
  <si>
    <t>BOTA PVC</t>
  </si>
  <si>
    <t>OCULOS DE PROTEÇÃO</t>
  </si>
  <si>
    <t>CAPA DE CHUVA</t>
  </si>
  <si>
    <t>DE 08/04/2026 a 22/04/2026</t>
  </si>
  <si>
    <t>30/04/2026</t>
  </si>
  <si>
    <t>REBOCO INTERNO</t>
  </si>
  <si>
    <t>CHAPISCO COLANTE</t>
  </si>
  <si>
    <t>ML</t>
  </si>
  <si>
    <t>CADEADO</t>
  </si>
  <si>
    <t>DIÁRIAS ELEVARE -28/02</t>
  </si>
  <si>
    <t> </t>
  </si>
  <si>
    <t>OFICIAL</t>
  </si>
  <si>
    <t>CARPINTEIRO</t>
  </si>
  <si>
    <t>1/2 OFICIAL</t>
  </si>
  <si>
    <t>AJUDANTE</t>
  </si>
  <si>
    <t>TOTAL</t>
  </si>
  <si>
    <t>DIÁRIAS ELEVARE - 24/02 a 06/03</t>
  </si>
  <si>
    <t>DIÁRIAS ELEVARE - 09/03 a 23/03</t>
  </si>
  <si>
    <t>DIÁRIAS ELEVARE - 24/03 a 07/04</t>
  </si>
  <si>
    <t xml:space="preserve">MEDIÇÕES ELEVARE - 24/03 a 07/04				</t>
  </si>
  <si>
    <t>LOCAL</t>
  </si>
  <si>
    <t>SERVIÇO</t>
  </si>
  <si>
    <t>LAJE TECNICA LATERAL DO CLOSET S.M</t>
  </si>
  <si>
    <t>PESSOAS</t>
  </si>
  <si>
    <t>LAJE TECNICA PARTE FRONTAL DO JARDIM DO CLOSET</t>
  </si>
  <si>
    <t>FABIANO</t>
  </si>
  <si>
    <t xml:space="preserve">CONTRAPISO,CHAPISCO,REBOCO </t>
  </si>
  <si>
    <t>LAJE TECNICA ATRAS DO ANTIGO TELHADO NA ENTRADA PRINCIPAL</t>
  </si>
  <si>
    <t xml:space="preserve">ANDRE </t>
  </si>
  <si>
    <t>LAJE TECNICA ALIMA DO ALMOXARIFADO</t>
  </si>
  <si>
    <t>TALISCAMENTO E CHAPISCO</t>
  </si>
  <si>
    <t>LEONIDAS</t>
  </si>
  <si>
    <t>DIÁRIAS ELEVARE - 08/04 a 22/04</t>
  </si>
  <si>
    <t xml:space="preserve">MEDIÇÕES ELEVARE - 08/04 a 22/04				</t>
  </si>
  <si>
    <t xml:space="preserve">EXECUÇÃO DE  PAREDE DA AREA DA CHURRASQUEIRA </t>
  </si>
  <si>
    <t xml:space="preserve">ALVENARIA </t>
  </si>
  <si>
    <t>EXECUÇÃO DE CHAPISCO COLANTE NA ADEGA - PILARES E VIGAS</t>
  </si>
  <si>
    <t xml:space="preserve">CHAPISCO COLANTE </t>
  </si>
  <si>
    <t>ALVENARIA</t>
  </si>
  <si>
    <t>EXECUÇÃO DE CHAPISCO NA PAREDE DA ADEGA</t>
  </si>
  <si>
    <t>EXECUÇÃO DE CHAPISCO NA PAREDE DA SUÍTE DO FILHO</t>
  </si>
  <si>
    <t>EXECUÇÃO DE CHAPISCO NA PAREDE DA SUÍTE DA SUÍTE MASTER, E BANHOS DA SUÍTE MASTER</t>
  </si>
  <si>
    <t>EXECUÇÃO DE REBOCO NA PAREDE DA SUÍTE MASTER</t>
  </si>
  <si>
    <t>EXECUÇÃO DE CHAPISCO COLANTE NA PAREDE DA SUÍTE MASTER</t>
  </si>
  <si>
    <t>EXECUÇÃO DE CHAPISCO COLANTE NO CORREDOR DO 2° PAV.</t>
  </si>
  <si>
    <t>EXECUÇÃO DE CHAPISCO COLANTE NA SUÍTE DO FILHO DO 2° PAV.</t>
  </si>
  <si>
    <t>RAFAEL</t>
  </si>
  <si>
    <t xml:space="preserve">EXECUÇÃO DE CONTRAPISO NA COBERTURA </t>
  </si>
  <si>
    <t>LORRAN</t>
  </si>
  <si>
    <t>LEONIDAS E 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</si>
</sst>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00"/>
    <numFmt numFmtId="165" formatCode="d/m/yyyy"/>
    <numFmt numFmtId="166" formatCode="_-&quot;R$ &quot;* #,##0.00_-;&quot;-R$ &quot;* #,##0.00_-;_-&quot;R$ &quot;* \-??_-;_-@_-"/>
    <numFmt numFmtId="167" formatCode="_(* #,##0.00_);_(* \(#,##0.00\);_(* \-??_);_(@_)"/>
    <numFmt numFmtId="168" formatCode="#,##0.00_);\(#,##0.00\)"/>
    <numFmt numFmtId="169" formatCode="&quot;R$&quot;\ #,##0.00"/>
  </numFmts>
  <fonts count="13">
    <font>
      <sz val="11"/>
      <color rgb="FF000000"/>
      <name val="Calibri"/>
      <charset val="1"/>
    </font>
    <font>
      <sz val="14"/>
      <name val="Arial Black"/>
      <family val="2"/>
      <charset val="1"/>
    </font>
    <font>
      <b/>
      <sz val="14"/>
      <name val="Arial Black"/>
      <family val="2"/>
      <charset val="1"/>
    </font>
    <font>
      <sz val="14"/>
      <color rgb="FF000000"/>
      <name val="Calibri"/>
      <family val="2"/>
      <charset val="1"/>
    </font>
    <font>
      <b/>
      <sz val="10"/>
      <name val="Arial Black"/>
      <family val="2"/>
      <charset val="1"/>
    </font>
    <font>
      <sz val="10"/>
      <name val="Arial Black"/>
      <family val="2"/>
      <charset val="1"/>
    </font>
    <font>
      <sz val="10"/>
      <name val="Calibri"/>
      <family val="2"/>
      <charset val="1"/>
    </font>
    <font>
      <sz val="11"/>
      <name val="Arial Black"/>
      <family val="2"/>
      <charset val="1"/>
    </font>
    <font>
      <b/>
      <sz val="11"/>
      <name val="Arial Black"/>
      <family val="2"/>
      <charset val="1"/>
    </font>
    <font>
      <sz val="11"/>
      <color rgb="FF000000"/>
      <name val="Arial Black"/>
      <family val="2"/>
      <charset val="1"/>
    </font>
    <font>
      <sz val="10"/>
      <color rgb="FF000000"/>
      <name val="Arial Black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C5E0B3"/>
        <bgColor rgb="FFC5E0B4"/>
      </patternFill>
    </fill>
    <fill>
      <patternFill patternType="solid">
        <fgColor rgb="FFFFFFFF"/>
        <bgColor rgb="FFE2F0D9"/>
      </patternFill>
    </fill>
    <fill>
      <patternFill patternType="solid">
        <fgColor rgb="FFA8D08D"/>
        <bgColor rgb="FFA9D18E"/>
      </patternFill>
    </fill>
    <fill>
      <patternFill patternType="solid">
        <fgColor rgb="FFE2EFD9"/>
        <bgColor rgb="FFE2F0D9"/>
      </patternFill>
    </fill>
    <fill>
      <patternFill patternType="solid">
        <fgColor rgb="FFA9D18E"/>
        <bgColor rgb="FFA8D08D"/>
      </patternFill>
    </fill>
    <fill>
      <patternFill patternType="solid">
        <fgColor rgb="FFC5E0B4"/>
        <bgColor rgb="FFC5E0B3"/>
      </patternFill>
    </fill>
    <fill>
      <patternFill patternType="solid">
        <fgColor rgb="FFE2F0D9"/>
        <bgColor rgb="FFE2EFD9"/>
      </patternFill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dotted">
        <color indexed="64"/>
      </bottom>
      <diagonal/>
    </border>
    <border>
      <left/>
      <right/>
      <top style="medium">
        <color rgb="FF000000"/>
      </top>
      <bottom style="dotted">
        <color indexed="64"/>
      </bottom>
      <diagonal/>
    </border>
    <border>
      <left/>
      <right style="medium">
        <color rgb="FF000000"/>
      </right>
      <top style="medium">
        <color rgb="FF000000"/>
      </top>
      <bottom style="dotted">
        <color indexed="64"/>
      </bottom>
      <diagonal/>
    </border>
    <border>
      <left style="medium">
        <color rgb="FF000000"/>
      </left>
      <right style="dotted">
        <color indexed="64"/>
      </right>
      <top/>
      <bottom style="dotted">
        <color indexed="64"/>
      </bottom>
      <diagonal/>
    </border>
    <border>
      <left/>
      <right style="medium">
        <color rgb="FF000000"/>
      </right>
      <top/>
      <bottom style="dotted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otted">
        <color indexed="64"/>
      </right>
      <top/>
      <bottom/>
      <diagonal/>
    </border>
    <border>
      <left style="medium">
        <color rgb="FF000000"/>
      </left>
      <right style="dotted">
        <color indexed="64"/>
      </right>
      <top style="dotted">
        <color indexed="64"/>
      </top>
      <bottom style="medium">
        <color rgb="FF000000"/>
      </bottom>
      <diagonal/>
    </border>
    <border>
      <left/>
      <right style="dotted">
        <color indexed="64"/>
      </right>
      <top style="dotted">
        <color indexed="64"/>
      </top>
      <bottom style="medium">
        <color rgb="FF000000"/>
      </bottom>
      <diagonal/>
    </border>
    <border>
      <left/>
      <right style="medium">
        <color rgb="FF000000"/>
      </right>
      <top style="dotted">
        <color indexed="64"/>
      </top>
      <bottom style="medium">
        <color rgb="FF000000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dotted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166" fontId="11" fillId="0" borderId="0" applyBorder="0" applyProtection="0"/>
  </cellStyleXfs>
  <cellXfs count="24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3" fillId="3" borderId="0" xfId="0" applyFont="1" applyFill="1"/>
    <xf numFmtId="0" fontId="3" fillId="0" borderId="0" xfId="0" applyFont="1"/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10" fontId="1" fillId="2" borderId="0" xfId="0" applyNumberFormat="1" applyFont="1" applyFill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164" fontId="4" fillId="2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vertical="center"/>
    </xf>
    <xf numFmtId="0" fontId="0" fillId="3" borderId="0" xfId="0" applyFill="1"/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center" vertical="center"/>
    </xf>
    <xf numFmtId="165" fontId="4" fillId="2" borderId="12" xfId="0" applyNumberFormat="1" applyFont="1" applyFill="1" applyBorder="1" applyAlignment="1">
      <alignment horizontal="center" vertical="center"/>
    </xf>
    <xf numFmtId="0" fontId="6" fillId="0" borderId="15" xfId="0" applyFont="1" applyBorder="1"/>
    <xf numFmtId="0" fontId="6" fillId="0" borderId="16" xfId="0" applyFont="1" applyBorder="1"/>
    <xf numFmtId="0" fontId="4" fillId="4" borderId="18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left" vertical="center" wrapText="1"/>
    </xf>
    <xf numFmtId="4" fontId="7" fillId="5" borderId="23" xfId="0" applyNumberFormat="1" applyFont="1" applyFill="1" applyBorder="1" applyAlignment="1">
      <alignment horizontal="center" vertical="center"/>
    </xf>
    <xf numFmtId="166" fontId="8" fillId="5" borderId="21" xfId="1" applyFont="1" applyFill="1" applyBorder="1" applyAlignment="1" applyProtection="1">
      <alignment horizontal="center" vertical="center"/>
    </xf>
    <xf numFmtId="166" fontId="7" fillId="3" borderId="23" xfId="1" applyFont="1" applyFill="1" applyBorder="1" applyAlignment="1" applyProtection="1">
      <alignment horizontal="center" vertical="center"/>
    </xf>
    <xf numFmtId="0" fontId="7" fillId="5" borderId="24" xfId="0" applyFont="1" applyFill="1" applyBorder="1" applyAlignment="1">
      <alignment vertical="center"/>
    </xf>
    <xf numFmtId="166" fontId="7" fillId="3" borderId="25" xfId="1" applyFont="1" applyFill="1" applyBorder="1" applyAlignment="1" applyProtection="1">
      <alignment vertical="center"/>
    </xf>
    <xf numFmtId="2" fontId="7" fillId="3" borderId="24" xfId="0" applyNumberFormat="1" applyFont="1" applyFill="1" applyBorder="1" applyAlignment="1">
      <alignment vertical="center"/>
    </xf>
    <xf numFmtId="166" fontId="7" fillId="3" borderId="23" xfId="1" applyFont="1" applyFill="1" applyBorder="1" applyAlignment="1" applyProtection="1">
      <alignment vertical="center"/>
    </xf>
    <xf numFmtId="167" fontId="7" fillId="3" borderId="26" xfId="0" applyNumberFormat="1" applyFont="1" applyFill="1" applyBorder="1" applyAlignment="1">
      <alignment vertical="center"/>
    </xf>
    <xf numFmtId="10" fontId="7" fillId="3" borderId="25" xfId="0" applyNumberFormat="1" applyFont="1" applyFill="1" applyBorder="1" applyAlignment="1">
      <alignment vertical="center"/>
    </xf>
    <xf numFmtId="167" fontId="7" fillId="5" borderId="23" xfId="0" applyNumberFormat="1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 wrapText="1"/>
    </xf>
    <xf numFmtId="167" fontId="8" fillId="3" borderId="21" xfId="0" applyNumberFormat="1" applyFont="1" applyFill="1" applyBorder="1" applyAlignment="1">
      <alignment vertical="center"/>
    </xf>
    <xf numFmtId="167" fontId="7" fillId="5" borderId="31" xfId="0" applyNumberFormat="1" applyFont="1" applyFill="1" applyBorder="1" applyAlignment="1">
      <alignment vertical="center"/>
    </xf>
    <xf numFmtId="167" fontId="7" fillId="3" borderId="29" xfId="0" applyNumberFormat="1" applyFont="1" applyFill="1" applyBorder="1" applyAlignment="1">
      <alignment vertical="center"/>
    </xf>
    <xf numFmtId="167" fontId="7" fillId="3" borderId="32" xfId="0" applyNumberFormat="1" applyFont="1" applyFill="1" applyBorder="1" applyAlignment="1">
      <alignment vertical="center"/>
    </xf>
    <xf numFmtId="0" fontId="7" fillId="5" borderId="23" xfId="0" applyFont="1" applyFill="1" applyBorder="1" applyAlignment="1">
      <alignment horizontal="left" vertical="center" wrapText="1"/>
    </xf>
    <xf numFmtId="167" fontId="8" fillId="5" borderId="29" xfId="0" applyNumberFormat="1" applyFont="1" applyFill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30" xfId="0" applyNumberFormat="1" applyFont="1" applyBorder="1" applyAlignment="1">
      <alignment vertical="center"/>
    </xf>
    <xf numFmtId="2" fontId="7" fillId="0" borderId="31" xfId="0" applyNumberFormat="1" applyFont="1" applyBorder="1" applyAlignment="1">
      <alignment vertical="center"/>
    </xf>
    <xf numFmtId="167" fontId="7" fillId="3" borderId="33" xfId="0" applyNumberFormat="1" applyFont="1" applyFill="1" applyBorder="1" applyAlignment="1">
      <alignment vertical="center"/>
    </xf>
    <xf numFmtId="10" fontId="7" fillId="3" borderId="34" xfId="0" applyNumberFormat="1" applyFont="1" applyFill="1" applyBorder="1" applyAlignment="1">
      <alignment vertical="center"/>
    </xf>
    <xf numFmtId="168" fontId="8" fillId="4" borderId="7" xfId="0" applyNumberFormat="1" applyFont="1" applyFill="1" applyBorder="1" applyAlignment="1">
      <alignment vertical="center"/>
    </xf>
    <xf numFmtId="168" fontId="8" fillId="4" borderId="8" xfId="0" applyNumberFormat="1" applyFont="1" applyFill="1" applyBorder="1" applyAlignment="1">
      <alignment vertical="center"/>
    </xf>
    <xf numFmtId="166" fontId="8" fillId="4" borderId="10" xfId="1" applyFont="1" applyFill="1" applyBorder="1" applyAlignment="1" applyProtection="1">
      <alignment vertical="center"/>
    </xf>
    <xf numFmtId="2" fontId="8" fillId="4" borderId="7" xfId="0" applyNumberFormat="1" applyFont="1" applyFill="1" applyBorder="1" applyAlignment="1">
      <alignment vertical="center"/>
    </xf>
    <xf numFmtId="167" fontId="8" fillId="4" borderId="10" xfId="0" applyNumberFormat="1" applyFont="1" applyFill="1" applyBorder="1" applyAlignment="1">
      <alignment vertical="center"/>
    </xf>
    <xf numFmtId="166" fontId="8" fillId="4" borderId="9" xfId="1" applyFont="1" applyFill="1" applyBorder="1" applyAlignment="1" applyProtection="1">
      <alignment vertical="center"/>
    </xf>
    <xf numFmtId="167" fontId="8" fillId="4" borderId="9" xfId="0" applyNumberFormat="1" applyFont="1" applyFill="1" applyBorder="1" applyAlignment="1">
      <alignment vertical="center"/>
    </xf>
    <xf numFmtId="9" fontId="8" fillId="4" borderId="10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10" fontId="5" fillId="3" borderId="0" xfId="0" applyNumberFormat="1" applyFont="1" applyFill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6" borderId="8" xfId="0" applyFont="1" applyFill="1" applyBorder="1" applyAlignment="1">
      <alignment vertical="center"/>
    </xf>
    <xf numFmtId="167" fontId="5" fillId="6" borderId="10" xfId="0" applyNumberFormat="1" applyFont="1" applyFill="1" applyBorder="1" applyAlignment="1">
      <alignment vertical="center"/>
    </xf>
    <xf numFmtId="0" fontId="10" fillId="7" borderId="9" xfId="0" applyFont="1" applyFill="1" applyBorder="1" applyAlignment="1">
      <alignment horizontal="center" vertical="center"/>
    </xf>
    <xf numFmtId="167" fontId="5" fillId="7" borderId="8" xfId="0" applyNumberFormat="1" applyFont="1" applyFill="1" applyBorder="1" applyAlignment="1">
      <alignment horizontal="center" vertical="center"/>
    </xf>
    <xf numFmtId="167" fontId="5" fillId="7" borderId="10" xfId="0" applyNumberFormat="1" applyFont="1" applyFill="1" applyBorder="1" applyAlignment="1">
      <alignment horizontal="center" vertical="center"/>
    </xf>
    <xf numFmtId="167" fontId="5" fillId="7" borderId="10" xfId="0" applyNumberFormat="1" applyFont="1" applyFill="1" applyBorder="1" applyAlignment="1">
      <alignment vertical="center"/>
    </xf>
    <xf numFmtId="0" fontId="5" fillId="3" borderId="21" xfId="0" applyFont="1" applyFill="1" applyBorder="1" applyAlignment="1">
      <alignment horizontal="left" vertical="center" wrapText="1"/>
    </xf>
    <xf numFmtId="167" fontId="5" fillId="3" borderId="35" xfId="0" applyNumberFormat="1" applyFont="1" applyFill="1" applyBorder="1" applyAlignment="1">
      <alignment vertical="center"/>
    </xf>
    <xf numFmtId="167" fontId="5" fillId="3" borderId="36" xfId="0" applyNumberFormat="1" applyFont="1" applyFill="1" applyBorder="1" applyAlignment="1">
      <alignment vertical="center"/>
    </xf>
    <xf numFmtId="2" fontId="5" fillId="3" borderId="37" xfId="0" applyNumberFormat="1" applyFont="1" applyFill="1" applyBorder="1" applyAlignment="1">
      <alignment vertical="center"/>
    </xf>
    <xf numFmtId="10" fontId="5" fillId="3" borderId="38" xfId="0" applyNumberFormat="1" applyFont="1" applyFill="1" applyBorder="1" applyAlignment="1">
      <alignment vertical="center"/>
    </xf>
    <xf numFmtId="167" fontId="5" fillId="3" borderId="39" xfId="0" applyNumberFormat="1" applyFont="1" applyFill="1" applyBorder="1" applyAlignment="1">
      <alignment vertical="center"/>
    </xf>
    <xf numFmtId="2" fontId="5" fillId="3" borderId="16" xfId="0" applyNumberFormat="1" applyFont="1" applyFill="1" applyBorder="1" applyAlignment="1">
      <alignment vertical="center"/>
    </xf>
    <xf numFmtId="167" fontId="5" fillId="3" borderId="40" xfId="0" applyNumberFormat="1" applyFont="1" applyFill="1" applyBorder="1" applyAlignment="1">
      <alignment vertical="center"/>
    </xf>
    <xf numFmtId="167" fontId="5" fillId="3" borderId="41" xfId="0" applyNumberFormat="1" applyFont="1" applyFill="1" applyBorder="1" applyAlignment="1">
      <alignment vertical="center"/>
    </xf>
    <xf numFmtId="2" fontId="5" fillId="3" borderId="35" xfId="0" applyNumberFormat="1" applyFont="1" applyFill="1" applyBorder="1" applyAlignment="1">
      <alignment vertical="center"/>
    </xf>
    <xf numFmtId="10" fontId="5" fillId="3" borderId="26" xfId="0" applyNumberFormat="1" applyFont="1" applyFill="1" applyBorder="1" applyAlignment="1">
      <alignment vertical="center"/>
    </xf>
    <xf numFmtId="167" fontId="5" fillId="3" borderId="27" xfId="0" applyNumberFormat="1" applyFont="1" applyFill="1" applyBorder="1" applyAlignment="1">
      <alignment vertical="center"/>
    </xf>
    <xf numFmtId="2" fontId="5" fillId="3" borderId="42" xfId="0" applyNumberFormat="1" applyFont="1" applyFill="1" applyBorder="1" applyAlignment="1">
      <alignment vertical="center"/>
    </xf>
    <xf numFmtId="2" fontId="5" fillId="3" borderId="40" xfId="0" applyNumberFormat="1" applyFont="1" applyFill="1" applyBorder="1" applyAlignment="1">
      <alignment vertical="center"/>
    </xf>
    <xf numFmtId="10" fontId="5" fillId="3" borderId="28" xfId="0" applyNumberFormat="1" applyFont="1" applyFill="1" applyBorder="1" applyAlignment="1">
      <alignment vertical="center"/>
    </xf>
    <xf numFmtId="0" fontId="10" fillId="3" borderId="23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left" vertical="center" wrapText="1"/>
    </xf>
    <xf numFmtId="0" fontId="10" fillId="8" borderId="13" xfId="0" applyFont="1" applyFill="1" applyBorder="1" applyAlignment="1">
      <alignment horizontal="center" vertical="center"/>
    </xf>
    <xf numFmtId="0" fontId="5" fillId="8" borderId="14" xfId="0" applyFont="1" applyFill="1" applyBorder="1" applyAlignment="1">
      <alignment horizontal="left" vertical="center" wrapText="1"/>
    </xf>
    <xf numFmtId="0" fontId="5" fillId="8" borderId="17" xfId="0" applyFont="1" applyFill="1" applyBorder="1" applyAlignment="1">
      <alignment horizontal="center" vertical="center" wrapText="1"/>
    </xf>
    <xf numFmtId="167" fontId="5" fillId="8" borderId="8" xfId="0" applyNumberFormat="1" applyFont="1" applyFill="1" applyBorder="1" applyAlignment="1">
      <alignment horizontal="center" vertical="center"/>
    </xf>
    <xf numFmtId="166" fontId="5" fillId="8" borderId="10" xfId="1" applyFont="1" applyFill="1" applyBorder="1" applyAlignment="1" applyProtection="1">
      <alignment vertical="center"/>
    </xf>
    <xf numFmtId="166" fontId="5" fillId="8" borderId="8" xfId="1" applyFont="1" applyFill="1" applyBorder="1" applyAlignment="1" applyProtection="1">
      <alignment vertical="center"/>
    </xf>
    <xf numFmtId="0" fontId="5" fillId="3" borderId="44" xfId="0" applyFont="1" applyFill="1" applyBorder="1" applyAlignment="1">
      <alignment horizontal="center" vertical="center"/>
    </xf>
    <xf numFmtId="0" fontId="5" fillId="3" borderId="45" xfId="0" applyFont="1" applyFill="1" applyBorder="1" applyAlignment="1">
      <alignment vertical="center" wrapText="1"/>
    </xf>
    <xf numFmtId="0" fontId="5" fillId="3" borderId="46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/>
    </xf>
    <xf numFmtId="167" fontId="4" fillId="3" borderId="0" xfId="0" applyNumberFormat="1" applyFont="1" applyFill="1" applyAlignment="1">
      <alignment horizontal="center" vertical="center"/>
    </xf>
    <xf numFmtId="167" fontId="5" fillId="3" borderId="0" xfId="0" applyNumberFormat="1" applyFont="1" applyFill="1" applyAlignment="1">
      <alignment horizontal="center" vertical="center"/>
    </xf>
    <xf numFmtId="167" fontId="5" fillId="3" borderId="5" xfId="0" applyNumberFormat="1" applyFont="1" applyFill="1" applyBorder="1" applyAlignment="1">
      <alignment vertical="center"/>
    </xf>
    <xf numFmtId="167" fontId="5" fillId="3" borderId="4" xfId="0" applyNumberFormat="1" applyFont="1" applyFill="1" applyBorder="1" applyAlignment="1">
      <alignment vertical="center"/>
    </xf>
    <xf numFmtId="167" fontId="5" fillId="3" borderId="0" xfId="0" applyNumberFormat="1" applyFont="1" applyFill="1" applyAlignment="1">
      <alignment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vertical="center"/>
    </xf>
    <xf numFmtId="166" fontId="5" fillId="6" borderId="10" xfId="1" applyFont="1" applyFill="1" applyBorder="1" applyAlignment="1" applyProtection="1">
      <alignment vertical="center"/>
    </xf>
    <xf numFmtId="49" fontId="4" fillId="2" borderId="16" xfId="0" applyNumberFormat="1" applyFont="1" applyFill="1" applyBorder="1" applyAlignment="1">
      <alignment horizontal="right" vertical="center"/>
    </xf>
    <xf numFmtId="167" fontId="7" fillId="0" borderId="33" xfId="0" applyNumberFormat="1" applyFont="1" applyBorder="1" applyAlignment="1">
      <alignment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left" vertical="center" wrapText="1"/>
    </xf>
    <xf numFmtId="0" fontId="5" fillId="6" borderId="13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0" fontId="8" fillId="5" borderId="49" xfId="0" applyFont="1" applyFill="1" applyBorder="1" applyAlignment="1">
      <alignment horizontal="center" vertical="center"/>
    </xf>
    <xf numFmtId="167" fontId="8" fillId="3" borderId="49" xfId="0" applyNumberFormat="1" applyFont="1" applyFill="1" applyBorder="1" applyAlignment="1">
      <alignment vertical="center"/>
    </xf>
    <xf numFmtId="166" fontId="8" fillId="3" borderId="49" xfId="1" applyFont="1" applyFill="1" applyBorder="1" applyAlignment="1" applyProtection="1">
      <alignment vertical="center"/>
    </xf>
    <xf numFmtId="0" fontId="8" fillId="5" borderId="21" xfId="0" applyFont="1" applyFill="1" applyBorder="1" applyAlignment="1">
      <alignment horizontal="center" vertical="center"/>
    </xf>
    <xf numFmtId="166" fontId="8" fillId="3" borderId="21" xfId="1" applyFont="1" applyFill="1" applyBorder="1" applyAlignment="1" applyProtection="1">
      <alignment vertical="center"/>
    </xf>
    <xf numFmtId="167" fontId="5" fillId="3" borderId="50" xfId="0" applyNumberFormat="1" applyFont="1" applyFill="1" applyBorder="1" applyAlignment="1">
      <alignment vertical="center"/>
    </xf>
    <xf numFmtId="166" fontId="5" fillId="6" borderId="8" xfId="1" applyFont="1" applyFill="1" applyBorder="1" applyAlignment="1" applyProtection="1">
      <alignment vertical="center"/>
    </xf>
    <xf numFmtId="2" fontId="7" fillId="8" borderId="7" xfId="0" applyNumberFormat="1" applyFont="1" applyFill="1" applyBorder="1" applyAlignment="1">
      <alignment vertical="center"/>
    </xf>
    <xf numFmtId="0" fontId="0" fillId="0" borderId="52" xfId="0" applyBorder="1"/>
    <xf numFmtId="0" fontId="11" fillId="0" borderId="52" xfId="0" applyFont="1" applyBorder="1"/>
    <xf numFmtId="0" fontId="0" fillId="0" borderId="56" xfId="0" applyBorder="1"/>
    <xf numFmtId="0" fontId="0" fillId="0" borderId="57" xfId="0" applyBorder="1"/>
    <xf numFmtId="0" fontId="11" fillId="0" borderId="57" xfId="0" applyFont="1" applyBorder="1"/>
    <xf numFmtId="14" fontId="0" fillId="0" borderId="56" xfId="0" applyNumberFormat="1" applyBorder="1"/>
    <xf numFmtId="0" fontId="0" fillId="0" borderId="58" xfId="0" applyBorder="1"/>
    <xf numFmtId="14" fontId="0" fillId="0" borderId="59" xfId="0" applyNumberFormat="1" applyBorder="1"/>
    <xf numFmtId="0" fontId="11" fillId="0" borderId="60" xfId="0" applyFont="1" applyBorder="1"/>
    <xf numFmtId="0" fontId="0" fillId="0" borderId="61" xfId="0" applyBorder="1"/>
    <xf numFmtId="0" fontId="0" fillId="0" borderId="62" xfId="0" applyBorder="1"/>
    <xf numFmtId="0" fontId="2" fillId="2" borderId="0" xfId="0" applyFont="1" applyFill="1" applyAlignment="1">
      <alignment vertical="center"/>
    </xf>
    <xf numFmtId="0" fontId="11" fillId="0" borderId="0" xfId="0" applyFont="1"/>
    <xf numFmtId="0" fontId="0" fillId="0" borderId="67" xfId="0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72" xfId="0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0" fillId="0" borderId="75" xfId="0" applyBorder="1" applyAlignment="1">
      <alignment horizontal="center" vertical="center"/>
    </xf>
    <xf numFmtId="0" fontId="0" fillId="0" borderId="77" xfId="0" applyBorder="1"/>
    <xf numFmtId="0" fontId="0" fillId="0" borderId="73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9" xfId="0" applyBorder="1"/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/>
    </xf>
    <xf numFmtId="0" fontId="0" fillId="0" borderId="69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0" fillId="0" borderId="71" xfId="0" applyBorder="1" applyAlignment="1">
      <alignment horizontal="center" vertical="center"/>
    </xf>
    <xf numFmtId="43" fontId="7" fillId="5" borderId="24" xfId="0" applyNumberFormat="1" applyFont="1" applyFill="1" applyBorder="1" applyAlignment="1">
      <alignment vertical="center"/>
    </xf>
    <xf numFmtId="169" fontId="0" fillId="0" borderId="82" xfId="0" applyNumberFormat="1" applyBorder="1" applyAlignment="1">
      <alignment horizontal="center" vertical="center"/>
    </xf>
    <xf numFmtId="169" fontId="0" fillId="0" borderId="84" xfId="0" applyNumberForma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169" fontId="0" fillId="0" borderId="58" xfId="0" applyNumberFormat="1" applyBorder="1" applyAlignment="1">
      <alignment horizontal="center" vertical="center"/>
    </xf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68" xfId="0" applyBorder="1"/>
    <xf numFmtId="0" fontId="12" fillId="0" borderId="69" xfId="0" applyFont="1" applyBorder="1"/>
    <xf numFmtId="0" fontId="12" fillId="0" borderId="70" xfId="0" applyFont="1" applyBorder="1"/>
    <xf numFmtId="0" fontId="12" fillId="0" borderId="71" xfId="0" applyFont="1" applyBorder="1"/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0" fillId="0" borderId="76" xfId="0" applyBorder="1"/>
    <xf numFmtId="2" fontId="7" fillId="9" borderId="24" xfId="0" applyNumberFormat="1" applyFont="1" applyFill="1" applyBorder="1" applyAlignment="1">
      <alignment vertical="center"/>
    </xf>
    <xf numFmtId="0" fontId="0" fillId="0" borderId="68" xfId="0" applyBorder="1" applyAlignment="1">
      <alignment horizontal="center" vertical="center" wrapText="1"/>
    </xf>
    <xf numFmtId="0" fontId="0" fillId="0" borderId="75" xfId="0" applyBorder="1" applyAlignment="1">
      <alignment horizontal="center" vertical="center" wrapText="1"/>
    </xf>
    <xf numFmtId="0" fontId="0" fillId="0" borderId="87" xfId="0" applyBorder="1" applyAlignment="1">
      <alignment horizontal="center" vertical="center" wrapText="1"/>
    </xf>
    <xf numFmtId="0" fontId="0" fillId="0" borderId="88" xfId="0" applyBorder="1" applyAlignment="1">
      <alignment horizontal="center" vertical="center"/>
    </xf>
    <xf numFmtId="0" fontId="12" fillId="0" borderId="77" xfId="0" applyFont="1" applyBorder="1"/>
    <xf numFmtId="0" fontId="12" fillId="0" borderId="80" xfId="0" applyFont="1" applyBorder="1"/>
    <xf numFmtId="0" fontId="12" fillId="0" borderId="84" xfId="0" applyFont="1" applyBorder="1"/>
    <xf numFmtId="0" fontId="0" fillId="0" borderId="86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89" xfId="0" applyBorder="1"/>
    <xf numFmtId="0" fontId="0" fillId="0" borderId="90" xfId="0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 wrapText="1"/>
    </xf>
    <xf numFmtId="10" fontId="4" fillId="4" borderId="13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0" fontId="4" fillId="2" borderId="9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165" fontId="4" fillId="2" borderId="7" xfId="0" applyNumberFormat="1" applyFont="1" applyFill="1" applyBorder="1" applyAlignment="1">
      <alignment horizontal="center" vertical="center"/>
    </xf>
    <xf numFmtId="167" fontId="8" fillId="4" borderId="7" xfId="0" applyNumberFormat="1" applyFont="1" applyFill="1" applyBorder="1" applyAlignment="1">
      <alignment horizontal="center" vertical="center" wrapText="1"/>
    </xf>
    <xf numFmtId="167" fontId="8" fillId="4" borderId="10" xfId="0" applyNumberFormat="1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/>
    </xf>
    <xf numFmtId="10" fontId="5" fillId="6" borderId="9" xfId="0" applyNumberFormat="1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63" xfId="0" applyFont="1" applyFill="1" applyBorder="1" applyAlignment="1">
      <alignment horizontal="center" vertical="center" wrapText="1"/>
    </xf>
    <xf numFmtId="0" fontId="4" fillId="4" borderId="46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64" xfId="0" applyFont="1" applyFill="1" applyBorder="1" applyAlignment="1">
      <alignment horizontal="center" vertical="center" wrapText="1"/>
    </xf>
    <xf numFmtId="4" fontId="4" fillId="4" borderId="9" xfId="0" applyNumberFormat="1" applyFont="1" applyFill="1" applyBorder="1" applyAlignment="1">
      <alignment horizontal="center" vertical="center" wrapText="1"/>
    </xf>
    <xf numFmtId="10" fontId="4" fillId="4" borderId="9" xfId="0" applyNumberFormat="1" applyFont="1" applyFill="1" applyBorder="1" applyAlignment="1">
      <alignment horizontal="center" vertical="center"/>
    </xf>
    <xf numFmtId="0" fontId="4" fillId="4" borderId="65" xfId="0" applyFont="1" applyFill="1" applyBorder="1" applyAlignment="1">
      <alignment horizontal="center" vertical="center" wrapText="1"/>
    </xf>
    <xf numFmtId="0" fontId="4" fillId="4" borderId="66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 wrapText="1"/>
    </xf>
    <xf numFmtId="166" fontId="5" fillId="3" borderId="29" xfId="1" applyFont="1" applyFill="1" applyBorder="1" applyAlignment="1" applyProtection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167" fontId="5" fillId="3" borderId="43" xfId="0" applyNumberFormat="1" applyFont="1" applyFill="1" applyBorder="1" applyAlignment="1">
      <alignment horizontal="center" vertical="center"/>
    </xf>
    <xf numFmtId="167" fontId="5" fillId="3" borderId="51" xfId="0" applyNumberFormat="1" applyFont="1" applyFill="1" applyBorder="1" applyAlignment="1">
      <alignment horizontal="center" vertical="center"/>
    </xf>
    <xf numFmtId="2" fontId="5" fillId="3" borderId="31" xfId="0" applyNumberFormat="1" applyFont="1" applyFill="1" applyBorder="1" applyAlignment="1">
      <alignment horizontal="center" vertical="center"/>
    </xf>
    <xf numFmtId="2" fontId="5" fillId="3" borderId="43" xfId="0" applyNumberFormat="1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167" fontId="5" fillId="7" borderId="7" xfId="0" applyNumberFormat="1" applyFont="1" applyFill="1" applyBorder="1" applyAlignment="1">
      <alignment horizontal="center" vertical="center"/>
    </xf>
    <xf numFmtId="2" fontId="5" fillId="7" borderId="10" xfId="0" applyNumberFormat="1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 wrapText="1"/>
    </xf>
    <xf numFmtId="166" fontId="5" fillId="3" borderId="25" xfId="1" applyFont="1" applyFill="1" applyBorder="1" applyAlignment="1" applyProtection="1">
      <alignment horizontal="center" vertical="center"/>
    </xf>
    <xf numFmtId="0" fontId="10" fillId="3" borderId="23" xfId="0" applyFont="1" applyFill="1" applyBorder="1" applyAlignment="1">
      <alignment horizontal="center" vertical="center" wrapText="1"/>
    </xf>
    <xf numFmtId="166" fontId="10" fillId="3" borderId="25" xfId="1" applyFont="1" applyFill="1" applyBorder="1" applyAlignment="1" applyProtection="1">
      <alignment horizontal="center"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7" fillId="8" borderId="7" xfId="0" applyNumberFormat="1" applyFont="1" applyFill="1" applyBorder="1" applyAlignment="1">
      <alignment horizontal="center" vertical="center"/>
    </xf>
    <xf numFmtId="166" fontId="5" fillId="8" borderId="10" xfId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10" fontId="5" fillId="6" borderId="7" xfId="0" applyNumberFormat="1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166" fontId="5" fillId="6" borderId="48" xfId="1" applyFont="1" applyFill="1" applyBorder="1" applyAlignment="1" applyProtection="1">
      <alignment horizontal="center" vertical="center"/>
    </xf>
    <xf numFmtId="0" fontId="0" fillId="0" borderId="80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53" xfId="0" applyBorder="1" applyAlignment="1"/>
    <xf numFmtId="0" fontId="0" fillId="0" borderId="54" xfId="0" applyBorder="1" applyAlignment="1"/>
    <xf numFmtId="0" fontId="0" fillId="0" borderId="55" xfId="0" applyBorder="1" applyAlignme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E2EFD9"/>
      <rgbColor rgb="FFC5E0B3"/>
      <rgbColor rgb="FF660066"/>
      <rgbColor rgb="FFFF8080"/>
      <rgbColor rgb="FF0066CC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8D08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E2D3-CE35-495F-9776-2FB4EDA53B2B}">
  <sheetPr codeName="Planilha5">
    <pageSetUpPr fitToPage="1"/>
  </sheetPr>
  <dimension ref="A1:AW854"/>
  <sheetViews>
    <sheetView topLeftCell="D10" zoomScale="55" zoomScaleNormal="55" workbookViewId="0">
      <selection activeCell="G2" sqref="G2:K2"/>
    </sheetView>
  </sheetViews>
  <sheetFormatPr defaultColWidth="9.140625" defaultRowHeight="15"/>
  <cols>
    <col min="1" max="1" width="8.7109375" customWidth="1"/>
    <col min="2" max="2" width="60.7109375" customWidth="1"/>
    <col min="3" max="3" width="7.7109375" customWidth="1"/>
    <col min="4" max="4" width="12.7109375" customWidth="1"/>
    <col min="5" max="5" width="16.5703125" customWidth="1"/>
    <col min="6" max="6" width="15.7109375" customWidth="1"/>
    <col min="7" max="7" width="25" customWidth="1"/>
    <col min="8" max="8" width="17.28515625" customWidth="1"/>
    <col min="9" max="9" width="18.7109375" customWidth="1"/>
    <col min="10" max="10" width="20.140625" customWidth="1"/>
    <col min="11" max="11" width="12.5703125" customWidth="1"/>
    <col min="12" max="12" width="24.28515625" customWidth="1"/>
    <col min="13" max="13" width="19.28515625" customWidth="1"/>
    <col min="14" max="14" width="12.7109375" customWidth="1"/>
  </cols>
  <sheetData>
    <row r="1" spans="1:49" s="6" customFormat="1" ht="21.95" customHeight="1">
      <c r="A1" s="1"/>
      <c r="B1" s="2"/>
      <c r="C1" s="2"/>
      <c r="D1" s="189" t="s">
        <v>0</v>
      </c>
      <c r="E1" s="189"/>
      <c r="F1" s="189"/>
      <c r="G1" s="189"/>
      <c r="H1" s="189"/>
      <c r="I1" s="189"/>
      <c r="J1" s="189"/>
      <c r="K1" s="3"/>
      <c r="L1" s="3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s="6" customFormat="1" ht="21.95" customHeight="1">
      <c r="A2" s="7"/>
      <c r="B2" s="8"/>
      <c r="C2" s="8"/>
      <c r="D2" s="136" t="s">
        <v>1</v>
      </c>
      <c r="E2" s="136"/>
      <c r="F2" s="136"/>
      <c r="G2" s="190" t="s">
        <v>2</v>
      </c>
      <c r="H2" s="190"/>
      <c r="I2" s="190"/>
      <c r="J2" s="190"/>
      <c r="K2" s="190"/>
      <c r="L2" s="9"/>
      <c r="M2" s="9"/>
      <c r="N2" s="10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s="6" customFormat="1" ht="21.95" customHeight="1">
      <c r="A3" s="7"/>
      <c r="B3" s="8"/>
      <c r="C3" s="8"/>
      <c r="D3" s="191" t="s">
        <v>3</v>
      </c>
      <c r="E3" s="191"/>
      <c r="F3" s="191"/>
      <c r="G3" s="191"/>
      <c r="H3" s="191"/>
      <c r="I3" s="191"/>
      <c r="J3" s="191"/>
      <c r="K3" s="9"/>
      <c r="L3" s="9"/>
      <c r="M3" s="9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6" customFormat="1" ht="21.95" customHeight="1" thickBot="1">
      <c r="A4" s="7"/>
      <c r="B4" s="8"/>
      <c r="C4" s="8"/>
      <c r="D4" s="8"/>
      <c r="E4" s="8"/>
      <c r="F4" s="8"/>
      <c r="G4" s="8"/>
      <c r="H4" s="11"/>
      <c r="I4" s="8"/>
      <c r="J4" s="8"/>
      <c r="K4" s="8"/>
      <c r="L4" s="8"/>
      <c r="M4" s="8"/>
      <c r="N4" s="10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21.95" customHeight="1" thickBot="1">
      <c r="A5" s="12"/>
      <c r="B5" s="13" t="str">
        <f>G2</f>
        <v>ELEVARE ENGENHARIA E CONSTRUÇÕES LTDA</v>
      </c>
      <c r="C5" s="14"/>
      <c r="D5" s="14"/>
      <c r="E5" s="15"/>
      <c r="F5" s="15"/>
      <c r="G5" s="14"/>
      <c r="H5" s="192" t="s">
        <v>4</v>
      </c>
      <c r="I5" s="192"/>
      <c r="J5" s="192"/>
      <c r="K5" s="16" t="s">
        <v>5</v>
      </c>
      <c r="L5" s="14"/>
      <c r="M5" s="17"/>
      <c r="N5" s="18">
        <v>1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</row>
    <row r="6" spans="1:49" ht="21.95" customHeight="1" thickBot="1">
      <c r="A6" s="20"/>
      <c r="B6" s="21" t="str">
        <f>D1</f>
        <v>OBRA: FKR-018 - RIL</v>
      </c>
      <c r="C6" s="22"/>
      <c r="D6" s="22"/>
      <c r="E6" s="23"/>
      <c r="F6" s="23"/>
      <c r="G6" s="22"/>
      <c r="H6" s="193" t="s">
        <v>6</v>
      </c>
      <c r="I6" s="193"/>
      <c r="J6" s="193"/>
      <c r="K6" s="194" t="s">
        <v>7</v>
      </c>
      <c r="L6" s="194"/>
      <c r="M6" s="24"/>
      <c r="N6" s="110" t="s">
        <v>8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</row>
    <row r="7" spans="1:49" ht="15.75" customHeight="1" thickBot="1">
      <c r="A7" s="214" t="s">
        <v>9</v>
      </c>
      <c r="B7" s="203" t="s">
        <v>10</v>
      </c>
      <c r="C7" s="215" t="s">
        <v>11</v>
      </c>
      <c r="D7" s="215"/>
      <c r="E7" s="215"/>
      <c r="F7" s="215"/>
      <c r="G7" s="215"/>
      <c r="H7" s="200" t="s">
        <v>12</v>
      </c>
      <c r="I7" s="200"/>
      <c r="J7" s="200"/>
      <c r="K7" s="201" t="s">
        <v>13</v>
      </c>
      <c r="L7" s="201"/>
      <c r="M7" s="202" t="s">
        <v>14</v>
      </c>
      <c r="N7" s="203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</row>
    <row r="8" spans="1:49" ht="15" customHeight="1" thickBot="1">
      <c r="A8" s="214"/>
      <c r="B8" s="203"/>
      <c r="C8" s="204" t="s">
        <v>15</v>
      </c>
      <c r="D8" s="205" t="s">
        <v>16</v>
      </c>
      <c r="E8" s="25"/>
      <c r="F8" s="26"/>
      <c r="G8" s="210" t="s">
        <v>17</v>
      </c>
      <c r="H8" s="211" t="s">
        <v>16</v>
      </c>
      <c r="I8" s="25"/>
      <c r="J8" s="187" t="s">
        <v>18</v>
      </c>
      <c r="K8" s="188" t="s">
        <v>16</v>
      </c>
      <c r="L8" s="187" t="s">
        <v>19</v>
      </c>
      <c r="M8" s="202" t="s">
        <v>20</v>
      </c>
      <c r="N8" s="203" t="s">
        <v>15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</row>
    <row r="9" spans="1:49" ht="30">
      <c r="A9" s="214"/>
      <c r="B9" s="203"/>
      <c r="C9" s="204"/>
      <c r="D9" s="205"/>
      <c r="E9" s="27" t="s">
        <v>21</v>
      </c>
      <c r="F9" s="28" t="s">
        <v>22</v>
      </c>
      <c r="G9" s="210"/>
      <c r="H9" s="210"/>
      <c r="I9" s="29" t="s">
        <v>21</v>
      </c>
      <c r="J9" s="187"/>
      <c r="K9" s="188"/>
      <c r="L9" s="187"/>
      <c r="M9" s="202"/>
      <c r="N9" s="203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1:49" ht="18.75">
      <c r="A10" s="30">
        <v>1</v>
      </c>
      <c r="B10" s="31" t="s">
        <v>23</v>
      </c>
      <c r="C10" s="117" t="s">
        <v>24</v>
      </c>
      <c r="D10" s="32">
        <v>1</v>
      </c>
      <c r="E10" s="33">
        <v>297</v>
      </c>
      <c r="F10" s="118"/>
      <c r="G10" s="34">
        <f>E10</f>
        <v>297</v>
      </c>
      <c r="H10" s="35">
        <f>Auxiliar!F20</f>
        <v>84</v>
      </c>
      <c r="I10" s="119">
        <f>+E10</f>
        <v>297</v>
      </c>
      <c r="J10" s="36">
        <f>+I10*H10</f>
        <v>24948</v>
      </c>
      <c r="K10" s="37">
        <f>+H10</f>
        <v>84</v>
      </c>
      <c r="L10" s="38">
        <f>+J10</f>
        <v>24948</v>
      </c>
      <c r="M10" s="39"/>
      <c r="N10" s="40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</row>
    <row r="11" spans="1:49" ht="18.75">
      <c r="A11" s="30">
        <v>2</v>
      </c>
      <c r="B11" s="31" t="s">
        <v>25</v>
      </c>
      <c r="C11" s="120" t="s">
        <v>24</v>
      </c>
      <c r="D11" s="32">
        <v>1</v>
      </c>
      <c r="E11" s="33">
        <v>407</v>
      </c>
      <c r="F11" s="44"/>
      <c r="G11" s="34">
        <f>E11</f>
        <v>407</v>
      </c>
      <c r="H11" s="35">
        <f>Auxiliar!E20</f>
        <v>14</v>
      </c>
      <c r="I11" s="121">
        <f>+E11</f>
        <v>407</v>
      </c>
      <c r="J11" s="36">
        <f>+I11*H11</f>
        <v>5698</v>
      </c>
      <c r="K11" s="37">
        <f>+H11</f>
        <v>14</v>
      </c>
      <c r="L11" s="38">
        <f>+J11</f>
        <v>5698</v>
      </c>
      <c r="M11" s="39"/>
      <c r="N11" s="40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</row>
    <row r="12" spans="1:49" ht="18.75">
      <c r="A12" s="30">
        <v>3</v>
      </c>
      <c r="B12" s="31" t="s">
        <v>26</v>
      </c>
      <c r="C12" s="120" t="s">
        <v>24</v>
      </c>
      <c r="D12" s="32">
        <v>1</v>
      </c>
      <c r="E12" s="33">
        <v>438</v>
      </c>
      <c r="F12" s="44"/>
      <c r="G12" s="34">
        <f>E12</f>
        <v>438</v>
      </c>
      <c r="H12" s="35">
        <f>Auxiliar!C20</f>
        <v>22</v>
      </c>
      <c r="I12" s="121">
        <f>+E12</f>
        <v>438</v>
      </c>
      <c r="J12" s="36">
        <f>+I12*H12</f>
        <v>9636</v>
      </c>
      <c r="K12" s="37">
        <f>+H12</f>
        <v>22</v>
      </c>
      <c r="L12" s="38">
        <f>+J12</f>
        <v>9636</v>
      </c>
      <c r="M12" s="39"/>
      <c r="N12" s="40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</row>
    <row r="13" spans="1:49" ht="24.95" customHeight="1">
      <c r="A13" s="42"/>
      <c r="B13" s="48"/>
      <c r="C13" s="43"/>
      <c r="D13" s="41"/>
      <c r="E13" s="49"/>
      <c r="F13" s="50"/>
      <c r="G13" s="51"/>
      <c r="H13" s="45"/>
      <c r="I13" s="111"/>
      <c r="J13" s="46"/>
      <c r="K13" s="52"/>
      <c r="L13" s="53"/>
      <c r="M13" s="47"/>
      <c r="N13" s="54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</row>
    <row r="14" spans="1:49" ht="24.95" customHeight="1" thickBot="1">
      <c r="A14" s="218"/>
      <c r="B14" s="218"/>
      <c r="C14" s="218"/>
      <c r="D14" s="218"/>
      <c r="E14" s="55"/>
      <c r="F14" s="56"/>
      <c r="G14" s="57">
        <f>SUM(G10:G12)</f>
        <v>1142</v>
      </c>
      <c r="H14" s="58"/>
      <c r="I14" s="59"/>
      <c r="J14" s="60">
        <f>SUM(J10:J12)</f>
        <v>40282</v>
      </c>
      <c r="K14" s="195" t="s">
        <v>27</v>
      </c>
      <c r="L14" s="196"/>
      <c r="M14" s="61">
        <f>+SUM(L10:L12)</f>
        <v>40282</v>
      </c>
      <c r="N14" s="62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ht="24.95" customHeight="1" thickBot="1">
      <c r="A15" s="63"/>
      <c r="B15" s="64"/>
      <c r="C15" s="64"/>
      <c r="D15" s="64"/>
      <c r="E15" s="65"/>
      <c r="F15" s="65"/>
      <c r="G15" s="65"/>
      <c r="H15" s="66"/>
      <c r="I15" s="65"/>
      <c r="J15" s="65"/>
      <c r="K15" s="65"/>
      <c r="L15" s="64"/>
      <c r="M15" s="65"/>
      <c r="N15" s="67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 ht="30" customHeight="1" thickBot="1">
      <c r="A16" s="115"/>
      <c r="B16" s="115" t="s">
        <v>28</v>
      </c>
      <c r="C16" s="197"/>
      <c r="D16" s="197"/>
      <c r="E16" s="68"/>
      <c r="F16" s="68"/>
      <c r="G16" s="69">
        <f>J14</f>
        <v>40282</v>
      </c>
      <c r="H16" s="198" t="s">
        <v>29</v>
      </c>
      <c r="I16" s="198"/>
      <c r="J16" s="198"/>
      <c r="K16" s="199" t="s">
        <v>30</v>
      </c>
      <c r="L16" s="199"/>
      <c r="M16" s="199"/>
      <c r="N16" s="19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</row>
    <row r="17" spans="1:49" ht="30" customHeight="1" thickBot="1">
      <c r="A17" s="70" t="s">
        <v>9</v>
      </c>
      <c r="B17" s="116" t="s">
        <v>31</v>
      </c>
      <c r="C17" s="223" t="s">
        <v>32</v>
      </c>
      <c r="D17" s="223"/>
      <c r="E17" s="71"/>
      <c r="F17" s="71"/>
      <c r="G17" s="72" t="s">
        <v>33</v>
      </c>
      <c r="H17" s="224" t="s">
        <v>34</v>
      </c>
      <c r="I17" s="224"/>
      <c r="J17" s="73">
        <f>+J23</f>
        <v>2014.1000000000001</v>
      </c>
      <c r="K17" s="225"/>
      <c r="L17" s="225"/>
      <c r="M17" s="225"/>
      <c r="N17" s="225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</row>
    <row r="18" spans="1:49">
      <c r="A18" s="112">
        <v>1</v>
      </c>
      <c r="B18" s="74"/>
      <c r="C18" s="226"/>
      <c r="D18" s="226"/>
      <c r="E18" s="227"/>
      <c r="F18" s="227"/>
      <c r="G18" s="227"/>
      <c r="H18" s="75"/>
      <c r="I18" s="76"/>
      <c r="J18" s="122"/>
      <c r="K18" s="77"/>
      <c r="L18" s="78"/>
      <c r="M18" s="79"/>
      <c r="N18" s="80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>
      <c r="A19" s="89">
        <v>2</v>
      </c>
      <c r="B19" s="113"/>
      <c r="C19" s="228"/>
      <c r="D19" s="228"/>
      <c r="E19" s="229"/>
      <c r="F19" s="229"/>
      <c r="G19" s="229"/>
      <c r="H19" s="81"/>
      <c r="I19" s="82"/>
      <c r="J19" s="82"/>
      <c r="K19" s="83"/>
      <c r="L19" s="84"/>
      <c r="M19" s="85"/>
      <c r="N19" s="86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 ht="15" customHeight="1">
      <c r="A20" s="89">
        <v>3</v>
      </c>
      <c r="B20" s="74"/>
      <c r="C20" s="226"/>
      <c r="D20" s="226"/>
      <c r="E20" s="227"/>
      <c r="F20" s="227"/>
      <c r="G20" s="227"/>
      <c r="H20" s="81"/>
      <c r="I20" s="82"/>
      <c r="J20" s="82"/>
      <c r="K20" s="83"/>
      <c r="L20" s="84"/>
      <c r="M20" s="85"/>
      <c r="N20" s="86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</row>
    <row r="21" spans="1:49">
      <c r="A21" s="89">
        <v>4</v>
      </c>
      <c r="B21" s="74"/>
      <c r="C21" s="226"/>
      <c r="D21" s="226"/>
      <c r="E21" s="227"/>
      <c r="F21" s="227"/>
      <c r="G21" s="227"/>
      <c r="H21" s="81"/>
      <c r="I21" s="82"/>
      <c r="J21" s="82"/>
      <c r="K21" s="87"/>
      <c r="L21" s="88"/>
      <c r="M21" s="227"/>
      <c r="N21" s="227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 ht="15.75" thickBot="1">
      <c r="A22" s="90">
        <v>5</v>
      </c>
      <c r="B22" s="91"/>
      <c r="C22" s="216"/>
      <c r="D22" s="216"/>
      <c r="E22" s="217"/>
      <c r="F22" s="217"/>
      <c r="G22" s="217"/>
      <c r="H22" s="219"/>
      <c r="I22" s="219"/>
      <c r="J22" s="220"/>
      <c r="K22" s="221"/>
      <c r="L22" s="221"/>
      <c r="M22" s="221"/>
      <c r="N22" s="222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</row>
    <row r="23" spans="1:49" ht="24.95" customHeight="1" thickBot="1">
      <c r="A23" s="92"/>
      <c r="B23" s="93"/>
      <c r="C23" s="94"/>
      <c r="D23" s="95"/>
      <c r="E23" s="230" t="s">
        <v>35</v>
      </c>
      <c r="F23" s="230"/>
      <c r="G23" s="96">
        <f>+SUM(E18:G22)</f>
        <v>0</v>
      </c>
      <c r="H23" s="231" t="s">
        <v>36</v>
      </c>
      <c r="I23" s="231"/>
      <c r="J23" s="97">
        <f>G25*0.05</f>
        <v>2014.1000000000001</v>
      </c>
      <c r="K23" s="124" t="s">
        <v>37</v>
      </c>
      <c r="L23" s="95"/>
      <c r="M23" s="232">
        <f>M21</f>
        <v>0</v>
      </c>
      <c r="N23" s="232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</row>
    <row r="24" spans="1:49" ht="24.95" customHeight="1" thickBot="1">
      <c r="A24" s="98"/>
      <c r="B24" s="99"/>
      <c r="C24" s="100"/>
      <c r="D24" s="101"/>
      <c r="E24" s="102"/>
      <c r="F24" s="103"/>
      <c r="G24" s="104"/>
      <c r="H24" s="105"/>
      <c r="I24" s="106"/>
      <c r="J24" s="106"/>
      <c r="K24" s="233"/>
      <c r="L24" s="233"/>
      <c r="M24" s="233"/>
      <c r="N24" s="233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</row>
    <row r="25" spans="1:49" ht="24.95" customHeight="1" thickBot="1">
      <c r="A25" s="114"/>
      <c r="B25" s="107" t="s">
        <v>38</v>
      </c>
      <c r="C25" s="108"/>
      <c r="D25" s="68"/>
      <c r="E25" s="234" t="s">
        <v>39</v>
      </c>
      <c r="F25" s="234"/>
      <c r="G25" s="109">
        <f>G16-G23</f>
        <v>40282</v>
      </c>
      <c r="H25" s="235" t="s">
        <v>40</v>
      </c>
      <c r="I25" s="235"/>
      <c r="J25" s="123">
        <f>G25-J23</f>
        <v>38267.9</v>
      </c>
      <c r="K25" s="236" t="s">
        <v>41</v>
      </c>
      <c r="L25" s="236"/>
      <c r="M25" s="237">
        <f>+J25-M23</f>
        <v>38267.9</v>
      </c>
      <c r="N25" s="237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</row>
    <row r="26" spans="1:49" ht="6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</row>
    <row r="27" spans="1:49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</row>
    <row r="28" spans="1:49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</row>
    <row r="29" spans="1:4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</row>
    <row r="30" spans="1:49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</row>
    <row r="31" spans="1:49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</row>
    <row r="32" spans="1:49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</row>
    <row r="33" spans="1:49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</row>
    <row r="34" spans="1:49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</row>
    <row r="35" spans="1:49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</row>
    <row r="36" spans="1:49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</row>
    <row r="37" spans="1:49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</row>
    <row r="38" spans="1:49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</row>
    <row r="39" spans="1:4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</row>
    <row r="40" spans="1:49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</row>
    <row r="41" spans="1:49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</row>
    <row r="42" spans="1:49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1:49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</row>
    <row r="44" spans="1:49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</row>
    <row r="45" spans="1:49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</row>
    <row r="46" spans="1:49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</row>
    <row r="47" spans="1:49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</row>
    <row r="48" spans="1:49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</row>
    <row r="49" spans="1: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</row>
    <row r="50" spans="1:49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</row>
    <row r="51" spans="1:49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</row>
    <row r="52" spans="1:49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</row>
    <row r="53" spans="1:49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</row>
    <row r="54" spans="1:49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</row>
    <row r="55" spans="1:49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</row>
    <row r="56" spans="1:49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</row>
    <row r="57" spans="1:49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</row>
    <row r="58" spans="1:49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</row>
    <row r="59" spans="1:4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</row>
    <row r="60" spans="1:49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</row>
    <row r="61" spans="1:49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</row>
    <row r="62" spans="1:49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</row>
    <row r="63" spans="1:49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</row>
    <row r="64" spans="1:49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</row>
    <row r="65" spans="1:49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</row>
    <row r="66" spans="1:49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</row>
    <row r="67" spans="1:49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</row>
    <row r="68" spans="1:49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</row>
    <row r="69" spans="1:4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</row>
    <row r="70" spans="1:49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</row>
    <row r="71" spans="1:49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</row>
    <row r="72" spans="1:49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</row>
    <row r="73" spans="1:49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</row>
    <row r="74" spans="1:49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</row>
    <row r="75" spans="1:49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</row>
    <row r="76" spans="1:49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</row>
    <row r="77" spans="1:49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</row>
    <row r="78" spans="1:49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</row>
    <row r="79" spans="1:4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</row>
    <row r="80" spans="1:49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</row>
    <row r="81" spans="1:49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</row>
    <row r="82" spans="1:49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</row>
    <row r="83" spans="1:49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</row>
    <row r="84" spans="1:49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</row>
    <row r="85" spans="1:49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</row>
    <row r="86" spans="1:49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</row>
    <row r="87" spans="1:49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</row>
    <row r="88" spans="1:49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</row>
    <row r="89" spans="1:4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</row>
    <row r="90" spans="1:49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</row>
    <row r="91" spans="1:49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</row>
    <row r="92" spans="1:49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</row>
    <row r="93" spans="1:49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</row>
    <row r="94" spans="1:49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</row>
    <row r="95" spans="1:49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</row>
    <row r="96" spans="1:49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</row>
    <row r="97" spans="1:49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</row>
    <row r="98" spans="1:49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</row>
    <row r="99" spans="1:4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</row>
    <row r="100" spans="1:49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</row>
    <row r="101" spans="1:49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</row>
    <row r="102" spans="1:49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</row>
    <row r="103" spans="1:49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</row>
    <row r="104" spans="1:49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</row>
    <row r="105" spans="1:49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</row>
    <row r="106" spans="1:49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</row>
    <row r="107" spans="1:49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</row>
    <row r="108" spans="1:49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</row>
    <row r="109" spans="1:4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</row>
    <row r="110" spans="1:49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</row>
    <row r="111" spans="1:49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</row>
    <row r="112" spans="1:49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</row>
    <row r="113" spans="1:49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</row>
    <row r="114" spans="1:49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</row>
    <row r="115" spans="1:49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</row>
    <row r="116" spans="1:49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</row>
    <row r="117" spans="1:49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</row>
    <row r="118" spans="1:49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</row>
    <row r="119" spans="1:4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</row>
    <row r="120" spans="1:49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</row>
    <row r="121" spans="1:49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</row>
    <row r="122" spans="1:49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</row>
    <row r="123" spans="1:49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</row>
    <row r="124" spans="1:49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</row>
    <row r="125" spans="1:49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</row>
    <row r="126" spans="1:49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</row>
    <row r="127" spans="1:49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</row>
    <row r="128" spans="1:49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</row>
    <row r="129" spans="1:4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</row>
    <row r="130" spans="1:49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</row>
    <row r="131" spans="1:49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</row>
    <row r="132" spans="1:49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</row>
    <row r="133" spans="1:49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</row>
    <row r="134" spans="1:49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</row>
    <row r="135" spans="1:4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</row>
    <row r="136" spans="1:4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</row>
    <row r="137" spans="1:49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</row>
    <row r="138" spans="1:49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</row>
    <row r="139" spans="1:4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</row>
    <row r="140" spans="1:49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</row>
    <row r="141" spans="1:49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</row>
    <row r="142" spans="1:49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</row>
    <row r="143" spans="1:49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</row>
    <row r="144" spans="1:49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</row>
    <row r="145" spans="1:49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</row>
    <row r="146" spans="1:49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</row>
    <row r="147" spans="1:49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</row>
    <row r="148" spans="1:49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</row>
    <row r="149" spans="1: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</row>
    <row r="150" spans="1:49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</row>
    <row r="151" spans="1:49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</row>
    <row r="152" spans="1:49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</row>
    <row r="153" spans="1:49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</row>
    <row r="154" spans="1:49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</row>
    <row r="155" spans="1:49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</row>
    <row r="156" spans="1:49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</row>
    <row r="157" spans="1:49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</row>
    <row r="158" spans="1:49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</row>
    <row r="159" spans="1:4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</row>
    <row r="160" spans="1:49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</row>
    <row r="161" spans="1:49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</row>
    <row r="162" spans="1:49"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</row>
    <row r="163" spans="1:49"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</row>
    <row r="164" spans="1:49"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</row>
    <row r="165" spans="1:49"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</row>
    <row r="166" spans="1:49"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</row>
    <row r="167" spans="1:49"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</row>
    <row r="168" spans="1:49"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</row>
    <row r="169" spans="1:49"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</row>
    <row r="170" spans="1:49"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</row>
    <row r="171" spans="1:49"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</row>
    <row r="172" spans="1:49"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</row>
    <row r="173" spans="1:49"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</row>
    <row r="174" spans="1:49"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</row>
    <row r="175" spans="1:49"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</row>
    <row r="176" spans="1:49"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</row>
    <row r="177" spans="15:49"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</row>
    <row r="178" spans="15:49"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</row>
    <row r="179" spans="15:49"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</row>
    <row r="180" spans="15:49"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</row>
    <row r="181" spans="15:49"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</row>
    <row r="182" spans="15:49"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</row>
    <row r="183" spans="15:49"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</row>
    <row r="184" spans="15:49"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</row>
    <row r="185" spans="15:49"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</row>
    <row r="186" spans="15:49"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</row>
    <row r="187" spans="15:49"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</row>
    <row r="188" spans="15:49"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</row>
    <row r="189" spans="15:49"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</row>
    <row r="190" spans="15:49"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</row>
    <row r="191" spans="15:49"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</row>
    <row r="192" spans="15:49"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</row>
    <row r="193" spans="15:49"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</row>
    <row r="194" spans="15:49"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</row>
    <row r="195" spans="15:49"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</row>
    <row r="196" spans="15:49"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</row>
    <row r="197" spans="15:49"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</row>
    <row r="198" spans="15:49"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</row>
    <row r="199" spans="15:49"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</row>
    <row r="200" spans="15:49"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</row>
    <row r="201" spans="15:49"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</row>
    <row r="202" spans="15:49"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</row>
    <row r="203" spans="15:49"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</row>
    <row r="204" spans="15:49"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</row>
    <row r="205" spans="15:49"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</row>
    <row r="206" spans="15:49"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</row>
    <row r="207" spans="15:49"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</row>
    <row r="208" spans="15:49"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</row>
    <row r="209" spans="15:49"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</row>
    <row r="210" spans="15:49"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</row>
    <row r="211" spans="15:49"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</row>
    <row r="212" spans="15:49"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</row>
    <row r="213" spans="15:49"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</row>
    <row r="214" spans="15:49"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</row>
    <row r="215" spans="15:49"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</row>
    <row r="216" spans="15:49"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</row>
    <row r="217" spans="15:49"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</row>
    <row r="218" spans="15:49"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</row>
    <row r="219" spans="15:49"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</row>
    <row r="220" spans="15:49"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</row>
    <row r="221" spans="15:49"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</row>
    <row r="222" spans="15:49"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</row>
    <row r="223" spans="15:49"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</row>
    <row r="224" spans="15:49"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</row>
    <row r="225" spans="15:49"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</row>
    <row r="226" spans="15:49"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</row>
    <row r="227" spans="15:49"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</row>
    <row r="228" spans="15:49"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</row>
    <row r="229" spans="15:49"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</row>
    <row r="230" spans="15:49"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</row>
    <row r="231" spans="15:49"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</row>
    <row r="232" spans="15:49"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</row>
    <row r="233" spans="15:49"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</row>
    <row r="234" spans="15:49"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</row>
    <row r="235" spans="15:49"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</row>
    <row r="236" spans="15:49"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</row>
    <row r="237" spans="15:49"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</row>
    <row r="238" spans="15:49"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</row>
    <row r="239" spans="15:49"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</row>
    <row r="240" spans="15:49"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</row>
    <row r="241" spans="15:49"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</row>
    <row r="242" spans="15:49"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</row>
    <row r="243" spans="15:49"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</row>
    <row r="244" spans="15:49"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</row>
    <row r="245" spans="15:49"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</row>
    <row r="246" spans="15:49"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</row>
    <row r="247" spans="15:49"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</row>
    <row r="248" spans="15:49"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</row>
    <row r="249" spans="15:49"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</row>
    <row r="250" spans="15:49"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</row>
    <row r="251" spans="15:49"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</row>
    <row r="252" spans="15:49"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</row>
    <row r="253" spans="15:49"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</row>
    <row r="254" spans="15:49"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</row>
    <row r="255" spans="15:49"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</row>
    <row r="256" spans="15:49"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</row>
    <row r="257" spans="15:49"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</row>
    <row r="258" spans="15:49"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</row>
    <row r="259" spans="15:49"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</row>
    <row r="260" spans="15:49"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</row>
    <row r="261" spans="15:49"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</row>
    <row r="262" spans="15:49"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</row>
    <row r="263" spans="15:49"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</row>
    <row r="264" spans="15:49"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</row>
    <row r="265" spans="15:49"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</row>
    <row r="266" spans="15:49"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</row>
    <row r="267" spans="15:49"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</row>
    <row r="268" spans="15:49"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</row>
    <row r="269" spans="15:49"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</row>
    <row r="270" spans="15:49"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</row>
    <row r="271" spans="15:49"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</row>
    <row r="272" spans="15:49"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</row>
    <row r="273" spans="15:49"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</row>
    <row r="274" spans="15:49"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</row>
    <row r="275" spans="15:49"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</row>
    <row r="276" spans="15:49"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</row>
    <row r="277" spans="15:49"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</row>
    <row r="278" spans="15:49"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</row>
    <row r="279" spans="15:49"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</row>
    <row r="280" spans="15:49"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</row>
    <row r="281" spans="15:49"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</row>
    <row r="282" spans="15:49"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</row>
    <row r="283" spans="15:49"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</row>
    <row r="284" spans="15:49"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</row>
    <row r="285" spans="15:49"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</row>
    <row r="286" spans="15:49"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</row>
    <row r="287" spans="15:49"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</row>
    <row r="288" spans="15:49"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</row>
    <row r="289" spans="15:49"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</row>
    <row r="290" spans="15:49"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</row>
    <row r="291" spans="15:49"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</row>
    <row r="292" spans="15:49"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</row>
    <row r="293" spans="15:49"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</row>
    <row r="294" spans="15:49"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</row>
    <row r="295" spans="15:49"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</row>
    <row r="296" spans="15:49"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</row>
    <row r="297" spans="15:49"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</row>
    <row r="298" spans="15:49"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</row>
    <row r="299" spans="15:49"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</row>
    <row r="300" spans="15:49"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</row>
    <row r="301" spans="15:49"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</row>
    <row r="302" spans="15:49"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</row>
    <row r="303" spans="15:49"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</row>
    <row r="304" spans="15:49"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</row>
    <row r="305" spans="15:49"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</row>
    <row r="306" spans="15:49"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</row>
    <row r="307" spans="15:49"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</row>
    <row r="308" spans="15:49"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</row>
    <row r="309" spans="15:49"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</row>
    <row r="310" spans="15:49"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</row>
    <row r="311" spans="15:49"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</row>
    <row r="312" spans="15:49"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</row>
    <row r="313" spans="15:49"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</row>
    <row r="314" spans="15:49"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</row>
    <row r="315" spans="15:49"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</row>
    <row r="316" spans="15:49"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</row>
    <row r="317" spans="15:49"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</row>
    <row r="318" spans="15:49"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</row>
    <row r="319" spans="15:49"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</row>
    <row r="320" spans="15:49"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</row>
    <row r="321" spans="15:49"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</row>
    <row r="322" spans="15:49"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</row>
    <row r="323" spans="15:49"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</row>
    <row r="324" spans="15:49"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</row>
    <row r="325" spans="15:49"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</row>
    <row r="326" spans="15:49"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</row>
    <row r="327" spans="15:49"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</row>
    <row r="328" spans="15:49"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</row>
    <row r="329" spans="15:49"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</row>
    <row r="330" spans="15:49"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</row>
    <row r="331" spans="15:49"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</row>
    <row r="332" spans="15:49"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</row>
    <row r="333" spans="15:49"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</row>
    <row r="334" spans="15:49"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</row>
    <row r="335" spans="15:49"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</row>
    <row r="336" spans="15:49"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</row>
    <row r="337" spans="15:49"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</row>
    <row r="338" spans="15:49"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</row>
    <row r="339" spans="15:49"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</row>
    <row r="340" spans="15:49"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</row>
    <row r="341" spans="15:49"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</row>
    <row r="342" spans="15:49"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</row>
    <row r="343" spans="15:49"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</row>
    <row r="344" spans="15:49"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</row>
    <row r="345" spans="15:49"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</row>
    <row r="346" spans="15:49"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</row>
    <row r="347" spans="15:49"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</row>
    <row r="348" spans="15:49"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</row>
    <row r="349" spans="15:49"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</row>
    <row r="350" spans="15:49"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</row>
    <row r="351" spans="15:49"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</row>
    <row r="352" spans="15:49"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</row>
    <row r="353" spans="15:49"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</row>
    <row r="354" spans="15:49"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</row>
    <row r="355" spans="15:49"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</row>
    <row r="356" spans="15:49"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</row>
    <row r="357" spans="15:49"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</row>
    <row r="358" spans="15:49"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</row>
    <row r="359" spans="15:49"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</row>
    <row r="360" spans="15:49"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</row>
    <row r="361" spans="15:49"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</row>
    <row r="362" spans="15:49"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</row>
    <row r="363" spans="15:49"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</row>
    <row r="364" spans="15:49"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</row>
    <row r="365" spans="15:49"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</row>
    <row r="366" spans="15:49"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</row>
    <row r="367" spans="15:49"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</row>
    <row r="368" spans="15:49"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</row>
    <row r="369" spans="15:49"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</row>
    <row r="370" spans="15:49"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</row>
    <row r="371" spans="15:49"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</row>
    <row r="372" spans="15:49"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</row>
    <row r="373" spans="15:49"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</row>
    <row r="374" spans="15:49"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</row>
    <row r="375" spans="15:49"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</row>
    <row r="376" spans="15:49"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</row>
    <row r="377" spans="15:49"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</row>
    <row r="378" spans="15:49"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</row>
    <row r="379" spans="15:49"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</row>
    <row r="380" spans="15:49"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</row>
    <row r="381" spans="15:49"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</row>
    <row r="382" spans="15:49"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</row>
    <row r="383" spans="15:49"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</row>
    <row r="384" spans="15:49"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</row>
    <row r="385" spans="15:49"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</row>
    <row r="386" spans="15:49"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</row>
    <row r="387" spans="15:49"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</row>
    <row r="388" spans="15:49"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</row>
    <row r="389" spans="15:49"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</row>
    <row r="390" spans="15:49"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</row>
    <row r="391" spans="15:49"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</row>
    <row r="392" spans="15:49"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</row>
    <row r="393" spans="15:49"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</row>
    <row r="394" spans="15:49"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</row>
    <row r="395" spans="15:49"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</row>
    <row r="396" spans="15:49"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</row>
    <row r="397" spans="15:49"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</row>
    <row r="398" spans="15:49"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</row>
    <row r="399" spans="15:49"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</row>
    <row r="400" spans="15:49"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</row>
    <row r="401" spans="15:49"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</row>
    <row r="402" spans="15:49"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</row>
    <row r="403" spans="15:49"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</row>
    <row r="404" spans="15:49"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</row>
    <row r="405" spans="15:49"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</row>
    <row r="406" spans="15:49"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</row>
    <row r="407" spans="15:49"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</row>
    <row r="408" spans="15:49"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</row>
    <row r="409" spans="15:49"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</row>
    <row r="410" spans="15:49"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</row>
    <row r="411" spans="15:49"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</row>
    <row r="412" spans="15:49"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</row>
    <row r="413" spans="15:49"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</row>
    <row r="414" spans="15:49"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</row>
    <row r="415" spans="15:49"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</row>
    <row r="416" spans="15:49"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</row>
    <row r="417" spans="15:49"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</row>
    <row r="418" spans="15:49"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</row>
    <row r="419" spans="15:49"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</row>
    <row r="420" spans="15:49"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</row>
    <row r="421" spans="15:49"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</row>
    <row r="422" spans="15:49"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</row>
    <row r="423" spans="15:49"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</row>
    <row r="424" spans="15:49"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</row>
    <row r="425" spans="15:49"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</row>
    <row r="426" spans="15:49"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</row>
    <row r="427" spans="15:49"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</row>
    <row r="428" spans="15:49"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</row>
    <row r="429" spans="15:49"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</row>
    <row r="430" spans="15:49"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</row>
    <row r="431" spans="15:49"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</row>
    <row r="432" spans="15:49"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</row>
    <row r="433" spans="15:49"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</row>
    <row r="434" spans="15:49"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</row>
    <row r="435" spans="15:49"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</row>
    <row r="436" spans="15:49"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</row>
    <row r="437" spans="15:49"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</row>
    <row r="438" spans="15:49"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</row>
    <row r="439" spans="15:49"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</row>
    <row r="440" spans="15:49"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</row>
    <row r="441" spans="15:49"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</row>
    <row r="442" spans="15:49"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</row>
    <row r="443" spans="15:49"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</row>
    <row r="444" spans="15:49"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</row>
    <row r="445" spans="15:49"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</row>
    <row r="446" spans="15:49"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</row>
    <row r="447" spans="15:49"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</row>
    <row r="448" spans="15:49"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</row>
    <row r="449" spans="15:49"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</row>
    <row r="450" spans="15:49"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</row>
    <row r="451" spans="15:49"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</row>
    <row r="452" spans="15:49"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</row>
    <row r="453" spans="15:49"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</row>
    <row r="454" spans="15:49"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</row>
    <row r="455" spans="15:49"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</row>
    <row r="456" spans="15:49"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</row>
    <row r="457" spans="15:49"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</row>
    <row r="458" spans="15:49"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</row>
    <row r="459" spans="15:49"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</row>
    <row r="460" spans="15:49"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</row>
    <row r="461" spans="15:49"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</row>
    <row r="462" spans="15:49"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</row>
    <row r="463" spans="15:49"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</row>
    <row r="464" spans="15:49"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</row>
    <row r="465" spans="15:49"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</row>
    <row r="466" spans="15:49"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</row>
    <row r="467" spans="15:49"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</row>
    <row r="468" spans="15:49"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</row>
    <row r="469" spans="15:49"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</row>
    <row r="470" spans="15:49"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</row>
    <row r="471" spans="15:49"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</row>
    <row r="472" spans="15:49"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</row>
    <row r="473" spans="15:49"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</row>
    <row r="474" spans="15:49"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</row>
    <row r="475" spans="15:49"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</row>
    <row r="476" spans="15:49"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</row>
    <row r="477" spans="15:49"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</row>
    <row r="478" spans="15:49"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</row>
    <row r="479" spans="15:49"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</row>
    <row r="480" spans="15:49"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</row>
    <row r="481" spans="15:49"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</row>
    <row r="482" spans="15:49"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</row>
    <row r="483" spans="15:49"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</row>
    <row r="484" spans="15:49"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</row>
    <row r="485" spans="15:49"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</row>
    <row r="486" spans="15:49"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</row>
    <row r="487" spans="15:49"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</row>
    <row r="488" spans="15:49"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</row>
    <row r="489" spans="15:49"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</row>
    <row r="490" spans="15:49"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</row>
    <row r="491" spans="15:49"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</row>
    <row r="492" spans="15:49"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</row>
    <row r="493" spans="15:49"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</row>
    <row r="494" spans="15:49"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</row>
    <row r="495" spans="15:49"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</row>
    <row r="496" spans="15:49"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</row>
    <row r="497" spans="15:49"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</row>
    <row r="498" spans="15:49"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</row>
    <row r="499" spans="15:49"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</row>
    <row r="500" spans="15:49"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</row>
    <row r="501" spans="15:49"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</row>
    <row r="502" spans="15:49"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</row>
    <row r="503" spans="15:49"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</row>
    <row r="504" spans="15:49"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</row>
    <row r="505" spans="15:49"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</row>
    <row r="506" spans="15:49"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</row>
    <row r="507" spans="15:49"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</row>
    <row r="508" spans="15:49"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</row>
    <row r="509" spans="15:49"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</row>
    <row r="510" spans="15:49"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</row>
    <row r="511" spans="15:49"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</row>
    <row r="512" spans="15:49"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</row>
    <row r="513" spans="15:49"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</row>
    <row r="514" spans="15:49"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</row>
    <row r="515" spans="15:49"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</row>
    <row r="516" spans="15:49"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</row>
    <row r="517" spans="15:49"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</row>
    <row r="518" spans="15:49"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</row>
    <row r="519" spans="15:49"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</row>
    <row r="520" spans="15:49"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</row>
    <row r="521" spans="15:49"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</row>
    <row r="522" spans="15:49"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</row>
    <row r="523" spans="15:49"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</row>
    <row r="524" spans="15:49"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</row>
    <row r="525" spans="15:49"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</row>
    <row r="526" spans="15:49"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</row>
    <row r="527" spans="15:49"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</row>
    <row r="528" spans="15:49"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</row>
    <row r="529" spans="15:49"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</row>
    <row r="530" spans="15:49"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</row>
    <row r="531" spans="15:49"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</row>
    <row r="532" spans="15:49"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</row>
    <row r="533" spans="15:49"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</row>
    <row r="534" spans="15:49"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</row>
    <row r="535" spans="15:49"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</row>
    <row r="536" spans="15:49"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</row>
    <row r="537" spans="15:49"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</row>
    <row r="538" spans="15:49"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</row>
    <row r="539" spans="15:49"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</row>
    <row r="540" spans="15:49"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</row>
    <row r="541" spans="15:49"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</row>
    <row r="542" spans="15:49"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</row>
    <row r="543" spans="15:49"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</row>
    <row r="544" spans="15:49"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</row>
    <row r="545" spans="15:49"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</row>
    <row r="546" spans="15:49"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</row>
    <row r="547" spans="15:49"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</row>
    <row r="548" spans="15:49"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</row>
    <row r="549" spans="15:49"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</row>
    <row r="550" spans="15:49"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</row>
    <row r="551" spans="15:49"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</row>
    <row r="552" spans="15:49"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</row>
    <row r="553" spans="15:49"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</row>
    <row r="554" spans="15:49"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</row>
    <row r="555" spans="15:49"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</row>
    <row r="556" spans="15:49"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</row>
    <row r="557" spans="15:49"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</row>
    <row r="558" spans="15:49"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</row>
    <row r="559" spans="15:49"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</row>
    <row r="560" spans="15:49"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</row>
    <row r="561" spans="15:49"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</row>
    <row r="562" spans="15:49"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</row>
    <row r="563" spans="15:49"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</row>
    <row r="564" spans="15:49"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</row>
    <row r="565" spans="15:49"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</row>
    <row r="566" spans="15:49"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</row>
    <row r="567" spans="15:49"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</row>
    <row r="568" spans="15:49"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</row>
    <row r="569" spans="15:49"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</row>
    <row r="570" spans="15:49"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</row>
    <row r="571" spans="15:49"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</row>
    <row r="572" spans="15:49"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</row>
    <row r="573" spans="15:49"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</row>
    <row r="574" spans="15:49"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</row>
    <row r="575" spans="15:49"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</row>
    <row r="576" spans="15:49"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</row>
    <row r="577" spans="15:49"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</row>
    <row r="578" spans="15:49"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</row>
    <row r="579" spans="15:49"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</row>
    <row r="580" spans="15:49"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</row>
    <row r="581" spans="15:49"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</row>
    <row r="582" spans="15:49"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</row>
    <row r="583" spans="15:49"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</row>
    <row r="584" spans="15:49"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</row>
    <row r="585" spans="15:49"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</row>
    <row r="586" spans="15:49"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</row>
    <row r="587" spans="15:49"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</row>
    <row r="588" spans="15:49"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</row>
    <row r="589" spans="15:49"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</row>
    <row r="590" spans="15:49"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</row>
    <row r="591" spans="15:49"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</row>
    <row r="592" spans="15:49"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</row>
    <row r="593" spans="15:49"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</row>
    <row r="594" spans="15:49"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</row>
    <row r="595" spans="15:49"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</row>
    <row r="596" spans="15:49"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</row>
    <row r="597" spans="15:49"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</row>
    <row r="598" spans="15:49"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</row>
    <row r="599" spans="15:49"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</row>
    <row r="600" spans="15:49"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</row>
    <row r="601" spans="15:49"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</row>
    <row r="602" spans="15:49"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</row>
    <row r="603" spans="15:49"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</row>
    <row r="604" spans="15:49"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</row>
    <row r="605" spans="15:49"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</row>
    <row r="606" spans="15:49"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</row>
    <row r="607" spans="15:49"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</row>
    <row r="608" spans="15:49"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</row>
    <row r="609" spans="15:49"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</row>
    <row r="610" spans="15:49"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</row>
    <row r="611" spans="15:49"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</row>
    <row r="612" spans="15:49"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</row>
    <row r="613" spans="15:49"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</row>
    <row r="614" spans="15:49"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</row>
    <row r="615" spans="15:49"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</row>
    <row r="616" spans="15:49"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</row>
    <row r="617" spans="15:49"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</row>
    <row r="618" spans="15:49"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</row>
    <row r="619" spans="15:49"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</row>
    <row r="620" spans="15:49"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</row>
    <row r="621" spans="15:49"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</row>
    <row r="622" spans="15:49"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</row>
    <row r="623" spans="15:49"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</row>
    <row r="624" spans="15:49"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</row>
    <row r="625" spans="15:49"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</row>
    <row r="626" spans="15:49"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</row>
    <row r="627" spans="15:49"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</row>
    <row r="628" spans="15:49"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</row>
    <row r="629" spans="15:49"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</row>
    <row r="630" spans="15:49"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</row>
    <row r="631" spans="15:49"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</row>
    <row r="632" spans="15:49"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</row>
    <row r="633" spans="15:49"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</row>
    <row r="634" spans="15:49"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</row>
    <row r="635" spans="15:49"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</row>
    <row r="636" spans="15:49"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</row>
    <row r="637" spans="15:49"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</row>
    <row r="638" spans="15:49"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</row>
    <row r="639" spans="15:49"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</row>
    <row r="640" spans="15:49"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</row>
    <row r="641" spans="15:49"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</row>
    <row r="642" spans="15:49"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</row>
    <row r="643" spans="15:49"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</row>
    <row r="644" spans="15:49"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</row>
    <row r="645" spans="15:49"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</row>
    <row r="646" spans="15:49"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</row>
    <row r="647" spans="15:49"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</row>
    <row r="648" spans="15:49"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</row>
    <row r="649" spans="15:49"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</row>
    <row r="650" spans="15:49"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</row>
    <row r="651" spans="15:49"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</row>
    <row r="652" spans="15:49"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</row>
    <row r="653" spans="15:49"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</row>
    <row r="654" spans="15:49"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</row>
    <row r="655" spans="15:49"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</row>
    <row r="656" spans="15:49"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</row>
    <row r="657" spans="15:49"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</row>
    <row r="658" spans="15:49"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</row>
    <row r="659" spans="15:49"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</row>
    <row r="660" spans="15:49"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</row>
    <row r="661" spans="15:49"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</row>
    <row r="662" spans="15:49"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</row>
    <row r="663" spans="15:49"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</row>
    <row r="664" spans="15:49"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</row>
    <row r="665" spans="15:49"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</row>
    <row r="666" spans="15:49"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</row>
    <row r="667" spans="15:49"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</row>
    <row r="668" spans="15:49"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</row>
    <row r="669" spans="15:49"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</row>
    <row r="670" spans="15:49"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</row>
    <row r="671" spans="15:49"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</row>
    <row r="672" spans="15:49"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</row>
    <row r="673" spans="15:49"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</row>
    <row r="674" spans="15:49"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</row>
    <row r="675" spans="15:49"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</row>
    <row r="676" spans="15:49"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</row>
    <row r="677" spans="15:49"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</row>
    <row r="678" spans="15:49"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</row>
    <row r="679" spans="15:49"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</row>
    <row r="680" spans="15:49"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</row>
    <row r="681" spans="15:49"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</row>
    <row r="682" spans="15:49"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</row>
    <row r="683" spans="15:49"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</row>
    <row r="684" spans="15:49"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</row>
    <row r="685" spans="15:49"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</row>
    <row r="686" spans="15:49"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</row>
    <row r="687" spans="15:49"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</row>
    <row r="688" spans="15:49"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</row>
    <row r="689" spans="15:49"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</row>
    <row r="690" spans="15:49"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</row>
    <row r="691" spans="15:49"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</row>
    <row r="692" spans="15:49"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</row>
    <row r="693" spans="15:49"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</row>
    <row r="694" spans="15:49"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</row>
    <row r="695" spans="15:49"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</row>
    <row r="696" spans="15:49"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</row>
    <row r="697" spans="15:49"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</row>
    <row r="698" spans="15:49"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</row>
    <row r="699" spans="15:49"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</row>
    <row r="700" spans="15:49"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</row>
    <row r="701" spans="15:49"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</row>
    <row r="702" spans="15:49"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</row>
    <row r="703" spans="15:49"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</row>
    <row r="704" spans="15:49"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</row>
    <row r="705" spans="15:49"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</row>
    <row r="706" spans="15:49"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</row>
    <row r="707" spans="15:49"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</row>
    <row r="708" spans="15:49"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</row>
    <row r="709" spans="15:49"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</row>
    <row r="710" spans="15:49"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</row>
    <row r="711" spans="15:49"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</row>
    <row r="712" spans="15:49"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</row>
    <row r="713" spans="15:49"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</row>
    <row r="714" spans="15:49"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</row>
    <row r="715" spans="15:49"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</row>
    <row r="716" spans="15:49"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</row>
    <row r="717" spans="15:49"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</row>
    <row r="718" spans="15:49"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</row>
    <row r="719" spans="15:49"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</row>
    <row r="720" spans="15:49"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</row>
    <row r="721" spans="15:49"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</row>
    <row r="722" spans="15:49"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</row>
    <row r="723" spans="15:49"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</row>
    <row r="724" spans="15:49"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</row>
    <row r="725" spans="15:49"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</row>
    <row r="726" spans="15:49"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</row>
    <row r="727" spans="15:49"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</row>
    <row r="728" spans="15:49"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</row>
    <row r="729" spans="15:49"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</row>
    <row r="730" spans="15:49"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</row>
    <row r="731" spans="15:49"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</row>
    <row r="732" spans="15:49"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</row>
    <row r="733" spans="15:49"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</row>
    <row r="734" spans="15:49"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</row>
    <row r="735" spans="15:49"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</row>
    <row r="736" spans="15:49"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</row>
    <row r="737" spans="15:49"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</row>
    <row r="738" spans="15:49"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</row>
    <row r="739" spans="15:49"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</row>
    <row r="740" spans="15:49"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</row>
    <row r="741" spans="15:49"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</row>
    <row r="742" spans="15:49"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</row>
    <row r="743" spans="15:49"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</row>
    <row r="744" spans="15:49"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</row>
    <row r="745" spans="15:49"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</row>
    <row r="746" spans="15:49"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</row>
    <row r="747" spans="15:49"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</row>
    <row r="748" spans="15:49"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</row>
    <row r="749" spans="15:49"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</row>
    <row r="750" spans="15:49"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</row>
    <row r="751" spans="15:49"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</row>
    <row r="752" spans="15:49"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</row>
    <row r="753" spans="15:49"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</row>
    <row r="754" spans="15:49"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</row>
    <row r="755" spans="15:49"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</row>
    <row r="756" spans="15:49"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</row>
    <row r="757" spans="15:49"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</row>
    <row r="758" spans="15:49"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</row>
    <row r="759" spans="15:49"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</row>
    <row r="760" spans="15:49"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</row>
    <row r="761" spans="15:49"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</row>
    <row r="762" spans="15:49"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</row>
    <row r="763" spans="15:49"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</row>
    <row r="764" spans="15:49"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</row>
    <row r="765" spans="15:49"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</row>
    <row r="766" spans="15:49"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</row>
    <row r="767" spans="15:49"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</row>
    <row r="768" spans="15:49"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</row>
    <row r="769" spans="15:49"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</row>
    <row r="770" spans="15:49"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</row>
    <row r="771" spans="15:49"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</row>
    <row r="772" spans="15:49"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</row>
    <row r="773" spans="15:49"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</row>
    <row r="774" spans="15:49"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</row>
    <row r="775" spans="15:49"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</row>
    <row r="776" spans="15:49"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</row>
    <row r="777" spans="15:49"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</row>
    <row r="778" spans="15:49"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</row>
    <row r="779" spans="15:49"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</row>
    <row r="780" spans="15:49"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</row>
    <row r="781" spans="15:49"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</row>
    <row r="782" spans="15:49"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</row>
    <row r="783" spans="15:49"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</row>
    <row r="784" spans="15:49"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</row>
    <row r="785" spans="15:49"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</row>
    <row r="786" spans="15:49"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</row>
    <row r="787" spans="15:49"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</row>
    <row r="788" spans="15:49"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</row>
    <row r="789" spans="15:49"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</row>
    <row r="790" spans="15:49"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</row>
    <row r="791" spans="15:49"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</row>
    <row r="792" spans="15:49"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</row>
    <row r="793" spans="15:49"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</row>
    <row r="794" spans="15:49"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</row>
    <row r="795" spans="15:49"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</row>
    <row r="796" spans="15:49"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</row>
    <row r="797" spans="15:49"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</row>
    <row r="798" spans="15:49"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</row>
    <row r="799" spans="15:49"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</row>
    <row r="800" spans="15:49"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</row>
    <row r="801" spans="15:49"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</row>
    <row r="802" spans="15:49"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</row>
    <row r="803" spans="15:49"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</row>
    <row r="804" spans="15:49"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</row>
    <row r="805" spans="15:49"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</row>
    <row r="806" spans="15:49"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</row>
    <row r="807" spans="15:49"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</row>
    <row r="808" spans="15:49"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</row>
    <row r="809" spans="15:49"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</row>
    <row r="810" spans="15:49"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</row>
    <row r="811" spans="15:49"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</row>
    <row r="812" spans="15:49"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</row>
    <row r="813" spans="15:49"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</row>
    <row r="814" spans="15:49"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</row>
    <row r="815" spans="15:49"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</row>
    <row r="816" spans="15:49"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</row>
    <row r="817" spans="15:49"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</row>
    <row r="818" spans="15:49"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</row>
    <row r="819" spans="15:49"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</row>
    <row r="820" spans="15:49"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</row>
    <row r="821" spans="15:49"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</row>
    <row r="822" spans="15:49"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</row>
    <row r="823" spans="15:49"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</row>
    <row r="824" spans="15:49"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</row>
    <row r="825" spans="15:49"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</row>
    <row r="826" spans="15:49"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</row>
    <row r="827" spans="15:49"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</row>
    <row r="828" spans="15:49"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</row>
    <row r="829" spans="15:49"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</row>
    <row r="830" spans="15:49"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</row>
    <row r="831" spans="15:49"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</row>
    <row r="832" spans="15:49"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</row>
    <row r="833" spans="15:49"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</row>
    <row r="834" spans="15:49"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</row>
    <row r="835" spans="15:49"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</row>
    <row r="836" spans="15:49"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</row>
    <row r="837" spans="15:49"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</row>
    <row r="838" spans="15:49"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</row>
    <row r="839" spans="15:49"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</row>
    <row r="840" spans="15:49"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</row>
    <row r="841" spans="15:49"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</row>
    <row r="842" spans="15:49"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</row>
    <row r="843" spans="15:49"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</row>
    <row r="844" spans="15:49"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</row>
    <row r="845" spans="15:49"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</row>
    <row r="846" spans="15:49"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</row>
    <row r="847" spans="15:49"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</row>
    <row r="848" spans="15:49"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</row>
    <row r="849" spans="15:49"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</row>
    <row r="850" spans="15:49"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</row>
    <row r="851" spans="15:49"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</row>
    <row r="852" spans="15:49"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</row>
    <row r="853" spans="15:49"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</row>
    <row r="854" spans="15:49"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</row>
  </sheetData>
  <mergeCells count="50">
    <mergeCell ref="M7:N7"/>
    <mergeCell ref="C8:C9"/>
    <mergeCell ref="D8:D9"/>
    <mergeCell ref="G8:G9"/>
    <mergeCell ref="D1:J1"/>
    <mergeCell ref="D3:J3"/>
    <mergeCell ref="H5:J5"/>
    <mergeCell ref="K6:L6"/>
    <mergeCell ref="H6:J6"/>
    <mergeCell ref="N8:N9"/>
    <mergeCell ref="M8:M9"/>
    <mergeCell ref="G2:K2"/>
    <mergeCell ref="A7:A9"/>
    <mergeCell ref="B7:B9"/>
    <mergeCell ref="C7:G7"/>
    <mergeCell ref="H7:J7"/>
    <mergeCell ref="K7:L7"/>
    <mergeCell ref="H8:H9"/>
    <mergeCell ref="J8:J9"/>
    <mergeCell ref="K8:K9"/>
    <mergeCell ref="L8:L9"/>
    <mergeCell ref="H17:I17"/>
    <mergeCell ref="K17:N17"/>
    <mergeCell ref="C20:D20"/>
    <mergeCell ref="E20:G20"/>
    <mergeCell ref="C17:D17"/>
    <mergeCell ref="A14:D14"/>
    <mergeCell ref="K14:L14"/>
    <mergeCell ref="C16:D16"/>
    <mergeCell ref="H16:J16"/>
    <mergeCell ref="K16:N16"/>
    <mergeCell ref="C21:D21"/>
    <mergeCell ref="E21:G21"/>
    <mergeCell ref="M21:N21"/>
    <mergeCell ref="C18:D18"/>
    <mergeCell ref="E18:G18"/>
    <mergeCell ref="C19:D19"/>
    <mergeCell ref="E19:G19"/>
    <mergeCell ref="C22:D22"/>
    <mergeCell ref="E22:G22"/>
    <mergeCell ref="H22:J22"/>
    <mergeCell ref="K22:N22"/>
    <mergeCell ref="E23:F23"/>
    <mergeCell ref="H23:I23"/>
    <mergeCell ref="M23:N23"/>
    <mergeCell ref="K24:N24"/>
    <mergeCell ref="E25:F25"/>
    <mergeCell ref="H25:I25"/>
    <mergeCell ref="K25:L25"/>
    <mergeCell ref="M25:N25"/>
  </mergeCells>
  <pageMargins left="0.51180555555555496" right="0.51180555555555496" top="0.78749999999999998" bottom="0.78749999999999998" header="0.51180555555555496" footer="0.51180555555555496"/>
  <pageSetup paperSize="9" scale="4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DE20C-5610-477A-9C12-7B7DBB3373A4}">
  <sheetPr>
    <pageSetUpPr fitToPage="1"/>
  </sheetPr>
  <dimension ref="A1:AW854"/>
  <sheetViews>
    <sheetView topLeftCell="E11" zoomScale="55" zoomScaleNormal="55" workbookViewId="0">
      <selection activeCell="J18" sqref="J18"/>
    </sheetView>
  </sheetViews>
  <sheetFormatPr defaultColWidth="9.140625" defaultRowHeight="15"/>
  <cols>
    <col min="1" max="1" width="8.7109375" customWidth="1"/>
    <col min="2" max="2" width="60.7109375" customWidth="1"/>
    <col min="3" max="3" width="7.7109375" customWidth="1"/>
    <col min="4" max="4" width="12.7109375" customWidth="1"/>
    <col min="5" max="5" width="16.5703125" customWidth="1"/>
    <col min="6" max="6" width="15.7109375" customWidth="1"/>
    <col min="7" max="7" width="25" customWidth="1"/>
    <col min="8" max="8" width="17.28515625" customWidth="1"/>
    <col min="9" max="9" width="18.7109375" customWidth="1"/>
    <col min="10" max="10" width="20.140625" customWidth="1"/>
    <col min="11" max="11" width="12.5703125" customWidth="1"/>
    <col min="12" max="12" width="24.28515625" customWidth="1"/>
    <col min="13" max="13" width="19.28515625" customWidth="1"/>
    <col min="14" max="14" width="12.7109375" customWidth="1"/>
  </cols>
  <sheetData>
    <row r="1" spans="1:49" s="6" customFormat="1" ht="21.95" customHeight="1">
      <c r="A1" s="1"/>
      <c r="B1" s="2"/>
      <c r="C1" s="2"/>
      <c r="D1" s="189" t="s">
        <v>0</v>
      </c>
      <c r="E1" s="189"/>
      <c r="F1" s="189"/>
      <c r="G1" s="189"/>
      <c r="H1" s="189"/>
      <c r="I1" s="189"/>
      <c r="J1" s="189"/>
      <c r="K1" s="3"/>
      <c r="L1" s="3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s="6" customFormat="1" ht="21.95" customHeight="1">
      <c r="A2" s="7"/>
      <c r="B2" s="8"/>
      <c r="C2" s="8"/>
      <c r="D2" s="136" t="s">
        <v>1</v>
      </c>
      <c r="E2" s="136"/>
      <c r="F2" s="136"/>
      <c r="G2" s="190" t="s">
        <v>2</v>
      </c>
      <c r="H2" s="190"/>
      <c r="I2" s="190"/>
      <c r="J2" s="190"/>
      <c r="K2" s="190"/>
      <c r="L2" s="9"/>
      <c r="M2" s="9"/>
      <c r="N2" s="10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s="6" customFormat="1" ht="21.95" customHeight="1">
      <c r="A3" s="7"/>
      <c r="B3" s="8"/>
      <c r="C3" s="8"/>
      <c r="D3" s="191" t="s">
        <v>3</v>
      </c>
      <c r="E3" s="191"/>
      <c r="F3" s="191"/>
      <c r="G3" s="191"/>
      <c r="H3" s="191"/>
      <c r="I3" s="191"/>
      <c r="J3" s="191"/>
      <c r="K3" s="9"/>
      <c r="L3" s="9"/>
      <c r="M3" s="9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6" customFormat="1" ht="21.95" customHeight="1">
      <c r="A4" s="7"/>
      <c r="B4" s="8"/>
      <c r="C4" s="8"/>
      <c r="D4" s="8"/>
      <c r="E4" s="8"/>
      <c r="F4" s="8"/>
      <c r="G4" s="8"/>
      <c r="H4" s="11"/>
      <c r="I4" s="8"/>
      <c r="J4" s="8"/>
      <c r="K4" s="8"/>
      <c r="L4" s="8"/>
      <c r="M4" s="8"/>
      <c r="N4" s="10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21.95" customHeight="1">
      <c r="A5" s="12"/>
      <c r="B5" s="13" t="str">
        <f>G2</f>
        <v>ELEVARE ENGENHARIA E CONSTRUÇÕES LTDA</v>
      </c>
      <c r="C5" s="14"/>
      <c r="D5" s="14"/>
      <c r="E5" s="15"/>
      <c r="F5" s="15"/>
      <c r="G5" s="14"/>
      <c r="H5" s="192" t="s">
        <v>4</v>
      </c>
      <c r="I5" s="192"/>
      <c r="J5" s="192"/>
      <c r="K5" s="16" t="s">
        <v>5</v>
      </c>
      <c r="L5" s="14"/>
      <c r="M5" s="17"/>
      <c r="N5" s="18">
        <v>1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</row>
    <row r="6" spans="1:49" ht="21.95" customHeight="1">
      <c r="A6" s="20"/>
      <c r="B6" s="21" t="str">
        <f>D1</f>
        <v>OBRA: FKR-018 - RIL</v>
      </c>
      <c r="C6" s="22"/>
      <c r="D6" s="22"/>
      <c r="E6" s="23"/>
      <c r="F6" s="23"/>
      <c r="G6" s="22"/>
      <c r="H6" s="193" t="s">
        <v>6</v>
      </c>
      <c r="I6" s="193"/>
      <c r="J6" s="193"/>
      <c r="K6" s="194" t="s">
        <v>7</v>
      </c>
      <c r="L6" s="194"/>
      <c r="M6" s="24"/>
      <c r="N6" s="110" t="s">
        <v>8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</row>
    <row r="7" spans="1:49" ht="15.75" customHeight="1">
      <c r="A7" s="214" t="s">
        <v>9</v>
      </c>
      <c r="B7" s="203" t="s">
        <v>10</v>
      </c>
      <c r="C7" s="215" t="s">
        <v>11</v>
      </c>
      <c r="D7" s="215"/>
      <c r="E7" s="215"/>
      <c r="F7" s="215"/>
      <c r="G7" s="215"/>
      <c r="H7" s="200" t="s">
        <v>12</v>
      </c>
      <c r="I7" s="200"/>
      <c r="J7" s="200"/>
      <c r="K7" s="201" t="s">
        <v>13</v>
      </c>
      <c r="L7" s="201"/>
      <c r="M7" s="202" t="s">
        <v>14</v>
      </c>
      <c r="N7" s="203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</row>
    <row r="8" spans="1:49" ht="15" customHeight="1">
      <c r="A8" s="214"/>
      <c r="B8" s="203"/>
      <c r="C8" s="204" t="s">
        <v>15</v>
      </c>
      <c r="D8" s="205" t="s">
        <v>16</v>
      </c>
      <c r="E8" s="206" t="s">
        <v>21</v>
      </c>
      <c r="F8" s="208" t="s">
        <v>22</v>
      </c>
      <c r="G8" s="210" t="s">
        <v>17</v>
      </c>
      <c r="H8" s="211" t="s">
        <v>16</v>
      </c>
      <c r="I8" s="212" t="s">
        <v>21</v>
      </c>
      <c r="J8" s="187" t="s">
        <v>18</v>
      </c>
      <c r="K8" s="188" t="s">
        <v>16</v>
      </c>
      <c r="L8" s="187" t="s">
        <v>19</v>
      </c>
      <c r="M8" s="202" t="s">
        <v>20</v>
      </c>
      <c r="N8" s="203" t="s">
        <v>15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</row>
    <row r="9" spans="1:49">
      <c r="A9" s="214"/>
      <c r="B9" s="203"/>
      <c r="C9" s="204"/>
      <c r="D9" s="205"/>
      <c r="E9" s="207"/>
      <c r="F9" s="209"/>
      <c r="G9" s="210"/>
      <c r="H9" s="210"/>
      <c r="I9" s="213"/>
      <c r="J9" s="187"/>
      <c r="K9" s="188"/>
      <c r="L9" s="187"/>
      <c r="M9" s="202"/>
      <c r="N9" s="203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1:49" ht="18.75">
      <c r="A10" s="30">
        <v>1</v>
      </c>
      <c r="B10" s="31" t="s">
        <v>23</v>
      </c>
      <c r="C10" s="117" t="s">
        <v>24</v>
      </c>
      <c r="D10" s="32">
        <v>1</v>
      </c>
      <c r="E10" s="33">
        <v>323.73</v>
      </c>
      <c r="F10" s="118"/>
      <c r="G10" s="34">
        <f>E10</f>
        <v>323.73</v>
      </c>
      <c r="H10" s="35">
        <f>Auxiliar!F34</f>
        <v>66</v>
      </c>
      <c r="I10" s="119">
        <f>+E10</f>
        <v>323.73</v>
      </c>
      <c r="J10" s="36">
        <f>+I10*H10</f>
        <v>21366.18</v>
      </c>
      <c r="K10" s="37">
        <f>+H10</f>
        <v>66</v>
      </c>
      <c r="L10" s="38">
        <f>+J10</f>
        <v>21366.18</v>
      </c>
      <c r="M10" s="39"/>
      <c r="N10" s="40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</row>
    <row r="11" spans="1:49" ht="18.75">
      <c r="A11" s="30">
        <v>2</v>
      </c>
      <c r="B11" s="31" t="s">
        <v>25</v>
      </c>
      <c r="C11" s="120" t="s">
        <v>24</v>
      </c>
      <c r="D11" s="32">
        <v>1</v>
      </c>
      <c r="E11" s="33">
        <v>443.63</v>
      </c>
      <c r="F11" s="44"/>
      <c r="G11" s="34">
        <f>E11</f>
        <v>443.63</v>
      </c>
      <c r="H11" s="35">
        <f>Auxiliar!E34</f>
        <v>9</v>
      </c>
      <c r="I11" s="121">
        <f>+E11</f>
        <v>443.63</v>
      </c>
      <c r="J11" s="36">
        <f>+I11*H11</f>
        <v>3992.67</v>
      </c>
      <c r="K11" s="37">
        <f>+H11</f>
        <v>9</v>
      </c>
      <c r="L11" s="38">
        <f>+J11</f>
        <v>3992.67</v>
      </c>
      <c r="M11" s="39"/>
      <c r="N11" s="40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</row>
    <row r="12" spans="1:49" ht="18.75">
      <c r="A12" s="30">
        <v>3</v>
      </c>
      <c r="B12" s="31" t="s">
        <v>26</v>
      </c>
      <c r="C12" s="120" t="s">
        <v>24</v>
      </c>
      <c r="D12" s="32">
        <v>1</v>
      </c>
      <c r="E12" s="33">
        <v>477.42</v>
      </c>
      <c r="F12" s="44"/>
      <c r="G12" s="34">
        <f>E12</f>
        <v>477.42</v>
      </c>
      <c r="H12" s="35">
        <f>Auxiliar!C34</f>
        <v>11</v>
      </c>
      <c r="I12" s="121">
        <f>+E12</f>
        <v>477.42</v>
      </c>
      <c r="J12" s="36">
        <f>+I12*H12</f>
        <v>5251.62</v>
      </c>
      <c r="K12" s="37">
        <f>+H12</f>
        <v>11</v>
      </c>
      <c r="L12" s="38">
        <f>+J12</f>
        <v>5251.62</v>
      </c>
      <c r="M12" s="39"/>
      <c r="N12" s="40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</row>
    <row r="13" spans="1:49" ht="24.95" customHeight="1">
      <c r="A13" s="42"/>
      <c r="B13" s="48"/>
      <c r="C13" s="43"/>
      <c r="D13" s="41"/>
      <c r="E13" s="49"/>
      <c r="F13" s="50"/>
      <c r="G13" s="51"/>
      <c r="H13" s="45"/>
      <c r="I13" s="111"/>
      <c r="J13" s="46"/>
      <c r="K13" s="52"/>
      <c r="L13" s="53"/>
      <c r="M13" s="47"/>
      <c r="N13" s="54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</row>
    <row r="14" spans="1:49" ht="24.95" customHeight="1">
      <c r="A14" s="218"/>
      <c r="B14" s="218"/>
      <c r="C14" s="218"/>
      <c r="D14" s="218"/>
      <c r="E14" s="55"/>
      <c r="F14" s="56"/>
      <c r="G14" s="57">
        <f>SUM(G10:G12)</f>
        <v>1244.78</v>
      </c>
      <c r="H14" s="58"/>
      <c r="I14" s="59"/>
      <c r="J14" s="60">
        <f>SUM(J10:J12)</f>
        <v>30610.469999999998</v>
      </c>
      <c r="K14" s="195" t="s">
        <v>27</v>
      </c>
      <c r="L14" s="196"/>
      <c r="M14" s="61">
        <f>+SUM(L10:L12)</f>
        <v>30610.469999999998</v>
      </c>
      <c r="N14" s="62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ht="24.95" customHeight="1">
      <c r="A15" s="63"/>
      <c r="B15" s="64"/>
      <c r="C15" s="64"/>
      <c r="D15" s="64"/>
      <c r="E15" s="65"/>
      <c r="F15" s="65"/>
      <c r="G15" s="65"/>
      <c r="H15" s="66"/>
      <c r="I15" s="65"/>
      <c r="J15" s="65"/>
      <c r="K15" s="65"/>
      <c r="L15" s="64"/>
      <c r="M15" s="65"/>
      <c r="N15" s="67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 ht="30" customHeight="1">
      <c r="A16" s="115"/>
      <c r="B16" s="115" t="s">
        <v>28</v>
      </c>
      <c r="C16" s="197"/>
      <c r="D16" s="197"/>
      <c r="E16" s="68"/>
      <c r="F16" s="68"/>
      <c r="G16" s="69">
        <f>J14</f>
        <v>30610.469999999998</v>
      </c>
      <c r="H16" s="198" t="s">
        <v>29</v>
      </c>
      <c r="I16" s="198"/>
      <c r="J16" s="198"/>
      <c r="K16" s="199" t="s">
        <v>30</v>
      </c>
      <c r="L16" s="199"/>
      <c r="M16" s="199"/>
      <c r="N16" s="19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</row>
    <row r="17" spans="1:49" ht="30" customHeight="1">
      <c r="A17" s="70" t="s">
        <v>9</v>
      </c>
      <c r="B17" s="116" t="s">
        <v>31</v>
      </c>
      <c r="C17" s="223" t="s">
        <v>32</v>
      </c>
      <c r="D17" s="223"/>
      <c r="E17" s="71"/>
      <c r="F17" s="71"/>
      <c r="G17" s="72" t="s">
        <v>33</v>
      </c>
      <c r="H17" s="224" t="s">
        <v>34</v>
      </c>
      <c r="I17" s="224"/>
      <c r="J17" s="73">
        <f>+J23+'MED 01'!J17</f>
        <v>3533.6725000000001</v>
      </c>
      <c r="K17" s="225"/>
      <c r="L17" s="225"/>
      <c r="M17" s="225"/>
      <c r="N17" s="225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</row>
    <row r="18" spans="1:49">
      <c r="A18" s="112">
        <v>1</v>
      </c>
      <c r="B18" s="74" t="s">
        <v>42</v>
      </c>
      <c r="C18" s="226">
        <v>2</v>
      </c>
      <c r="D18" s="226"/>
      <c r="E18" s="227">
        <f>C18*69.5</f>
        <v>139</v>
      </c>
      <c r="F18" s="227"/>
      <c r="G18" s="227"/>
      <c r="H18" s="75"/>
      <c r="I18" s="76"/>
      <c r="J18" s="122"/>
      <c r="K18" s="77"/>
      <c r="L18" s="78"/>
      <c r="M18" s="79"/>
      <c r="N18" s="80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>
      <c r="A19" s="89">
        <v>2</v>
      </c>
      <c r="B19" s="113" t="s">
        <v>43</v>
      </c>
      <c r="C19" s="228">
        <v>6</v>
      </c>
      <c r="D19" s="228"/>
      <c r="E19" s="229">
        <f>C19*3.25</f>
        <v>19.5</v>
      </c>
      <c r="F19" s="229"/>
      <c r="G19" s="229"/>
      <c r="H19" s="81"/>
      <c r="I19" s="82"/>
      <c r="J19" s="82"/>
      <c r="K19" s="83"/>
      <c r="L19" s="84"/>
      <c r="M19" s="85"/>
      <c r="N19" s="86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 ht="15" customHeight="1">
      <c r="A20" s="89">
        <v>3</v>
      </c>
      <c r="B20" s="74" t="s">
        <v>44</v>
      </c>
      <c r="C20" s="226">
        <v>1</v>
      </c>
      <c r="D20" s="226"/>
      <c r="E20" s="229">
        <f>C20*23</f>
        <v>23</v>
      </c>
      <c r="F20" s="229"/>
      <c r="G20" s="229"/>
      <c r="H20" s="81"/>
      <c r="I20" s="82"/>
      <c r="J20" s="82"/>
      <c r="K20" s="83"/>
      <c r="L20" s="84"/>
      <c r="M20" s="85"/>
      <c r="N20" s="86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</row>
    <row r="21" spans="1:49">
      <c r="A21" s="89">
        <v>4</v>
      </c>
      <c r="B21" s="74" t="s">
        <v>45</v>
      </c>
      <c r="C21" s="226">
        <v>4</v>
      </c>
      <c r="D21" s="226"/>
      <c r="E21" s="229">
        <f>C21*9.38</f>
        <v>37.520000000000003</v>
      </c>
      <c r="F21" s="229"/>
      <c r="G21" s="229"/>
      <c r="H21" s="81"/>
      <c r="I21" s="82"/>
      <c r="J21" s="82"/>
      <c r="K21" s="87"/>
      <c r="L21" s="88"/>
      <c r="M21" s="227"/>
      <c r="N21" s="227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>
      <c r="A22" s="90">
        <v>5</v>
      </c>
      <c r="B22" s="91"/>
      <c r="C22" s="216"/>
      <c r="D22" s="216"/>
      <c r="E22" s="217"/>
      <c r="F22" s="217"/>
      <c r="G22" s="217"/>
      <c r="H22" s="219"/>
      <c r="I22" s="219"/>
      <c r="J22" s="220"/>
      <c r="K22" s="221"/>
      <c r="L22" s="221"/>
      <c r="M22" s="221"/>
      <c r="N22" s="222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</row>
    <row r="23" spans="1:49" ht="24.95" customHeight="1">
      <c r="A23" s="92"/>
      <c r="B23" s="93"/>
      <c r="C23" s="94"/>
      <c r="D23" s="95"/>
      <c r="E23" s="230" t="s">
        <v>35</v>
      </c>
      <c r="F23" s="230"/>
      <c r="G23" s="96">
        <f>+SUM(E18:G22)</f>
        <v>219.02</v>
      </c>
      <c r="H23" s="231" t="s">
        <v>36</v>
      </c>
      <c r="I23" s="231"/>
      <c r="J23" s="97">
        <f>G25*0.05</f>
        <v>1519.5725</v>
      </c>
      <c r="K23" s="124" t="s">
        <v>37</v>
      </c>
      <c r="L23" s="95"/>
      <c r="M23" s="232">
        <f>M21</f>
        <v>0</v>
      </c>
      <c r="N23" s="232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</row>
    <row r="24" spans="1:49" ht="24.95" customHeight="1">
      <c r="A24" s="98"/>
      <c r="B24" s="99"/>
      <c r="C24" s="100"/>
      <c r="D24" s="101"/>
      <c r="E24" s="102"/>
      <c r="F24" s="103"/>
      <c r="G24" s="104"/>
      <c r="H24" s="105"/>
      <c r="I24" s="106"/>
      <c r="J24" s="106"/>
      <c r="K24" s="233"/>
      <c r="L24" s="233"/>
      <c r="M24" s="233"/>
      <c r="N24" s="233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</row>
    <row r="25" spans="1:49" ht="24.95" customHeight="1">
      <c r="A25" s="114"/>
      <c r="B25" s="107" t="s">
        <v>38</v>
      </c>
      <c r="C25" s="108"/>
      <c r="D25" s="68"/>
      <c r="E25" s="234" t="s">
        <v>39</v>
      </c>
      <c r="F25" s="234"/>
      <c r="G25" s="109">
        <f>G16-G23</f>
        <v>30391.449999999997</v>
      </c>
      <c r="H25" s="235" t="s">
        <v>40</v>
      </c>
      <c r="I25" s="235"/>
      <c r="J25" s="123">
        <f>G25-J23</f>
        <v>28871.877499999999</v>
      </c>
      <c r="K25" s="236" t="s">
        <v>41</v>
      </c>
      <c r="L25" s="236"/>
      <c r="M25" s="237">
        <f>+J25-M23</f>
        <v>28871.877499999999</v>
      </c>
      <c r="N25" s="237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</row>
    <row r="26" spans="1:49" ht="6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>
        <v>30466.5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</row>
    <row r="27" spans="1:49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</row>
    <row r="28" spans="1:49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</row>
    <row r="29" spans="1:4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</row>
    <row r="30" spans="1:49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</row>
    <row r="31" spans="1:49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</row>
    <row r="32" spans="1:49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</row>
    <row r="33" spans="1:49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</row>
    <row r="34" spans="1:49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</row>
    <row r="35" spans="1:49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</row>
    <row r="36" spans="1:49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</row>
    <row r="37" spans="1:49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</row>
    <row r="38" spans="1:49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</row>
    <row r="39" spans="1:4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</row>
    <row r="40" spans="1:49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</row>
    <row r="41" spans="1:49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</row>
    <row r="42" spans="1:49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1:49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</row>
    <row r="44" spans="1:49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</row>
    <row r="45" spans="1:49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</row>
    <row r="46" spans="1:49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</row>
    <row r="47" spans="1:49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</row>
    <row r="48" spans="1:49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</row>
    <row r="49" spans="1: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</row>
    <row r="50" spans="1:49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</row>
    <row r="51" spans="1:49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</row>
    <row r="52" spans="1:49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</row>
    <row r="53" spans="1:49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</row>
    <row r="54" spans="1:49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</row>
    <row r="55" spans="1:49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</row>
    <row r="56" spans="1:49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</row>
    <row r="57" spans="1:49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</row>
    <row r="58" spans="1:49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</row>
    <row r="59" spans="1:4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</row>
    <row r="60" spans="1:49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</row>
    <row r="61" spans="1:49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</row>
    <row r="62" spans="1:49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</row>
    <row r="63" spans="1:49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</row>
    <row r="64" spans="1:49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</row>
    <row r="65" spans="1:49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</row>
    <row r="66" spans="1:49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</row>
    <row r="67" spans="1:49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</row>
    <row r="68" spans="1:49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</row>
    <row r="69" spans="1:4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</row>
    <row r="70" spans="1:49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</row>
    <row r="71" spans="1:49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</row>
    <row r="72" spans="1:49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</row>
    <row r="73" spans="1:49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</row>
    <row r="74" spans="1:49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</row>
    <row r="75" spans="1:49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</row>
    <row r="76" spans="1:49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</row>
    <row r="77" spans="1:49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</row>
    <row r="78" spans="1:49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</row>
    <row r="79" spans="1:4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</row>
    <row r="80" spans="1:49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</row>
    <row r="81" spans="1:49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</row>
    <row r="82" spans="1:49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</row>
    <row r="83" spans="1:49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</row>
    <row r="84" spans="1:49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</row>
    <row r="85" spans="1:49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</row>
    <row r="86" spans="1:49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</row>
    <row r="87" spans="1:49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</row>
    <row r="88" spans="1:49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</row>
    <row r="89" spans="1:4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</row>
    <row r="90" spans="1:49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</row>
    <row r="91" spans="1:49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</row>
    <row r="92" spans="1:49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</row>
    <row r="93" spans="1:49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</row>
    <row r="94" spans="1:49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</row>
    <row r="95" spans="1:49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</row>
    <row r="96" spans="1:49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</row>
    <row r="97" spans="1:49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</row>
    <row r="98" spans="1:49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</row>
    <row r="99" spans="1:4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</row>
    <row r="100" spans="1:49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</row>
    <row r="101" spans="1:49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</row>
    <row r="102" spans="1:49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</row>
    <row r="103" spans="1:49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</row>
    <row r="104" spans="1:49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</row>
    <row r="105" spans="1:49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</row>
    <row r="106" spans="1:49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</row>
    <row r="107" spans="1:49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</row>
    <row r="108" spans="1:49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</row>
    <row r="109" spans="1:4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</row>
    <row r="110" spans="1:49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</row>
    <row r="111" spans="1:49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</row>
    <row r="112" spans="1:49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</row>
    <row r="113" spans="1:49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</row>
    <row r="114" spans="1:49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</row>
    <row r="115" spans="1:49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</row>
    <row r="116" spans="1:49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</row>
    <row r="117" spans="1:49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</row>
    <row r="118" spans="1:49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</row>
    <row r="119" spans="1:4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</row>
    <row r="120" spans="1:49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</row>
    <row r="121" spans="1:49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</row>
    <row r="122" spans="1:49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</row>
    <row r="123" spans="1:49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</row>
    <row r="124" spans="1:49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</row>
    <row r="125" spans="1:49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</row>
    <row r="126" spans="1:49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</row>
    <row r="127" spans="1:49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</row>
    <row r="128" spans="1:49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</row>
    <row r="129" spans="1:4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</row>
    <row r="130" spans="1:49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</row>
    <row r="131" spans="1:49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</row>
    <row r="132" spans="1:49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</row>
    <row r="133" spans="1:49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</row>
    <row r="134" spans="1:49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</row>
    <row r="135" spans="1:4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</row>
    <row r="136" spans="1:4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</row>
    <row r="137" spans="1:49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</row>
    <row r="138" spans="1:49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</row>
    <row r="139" spans="1:4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</row>
    <row r="140" spans="1:49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</row>
    <row r="141" spans="1:49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</row>
    <row r="142" spans="1:49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</row>
    <row r="143" spans="1:49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</row>
    <row r="144" spans="1:49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</row>
    <row r="145" spans="1:49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</row>
    <row r="146" spans="1:49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</row>
    <row r="147" spans="1:49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</row>
    <row r="148" spans="1:49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</row>
    <row r="149" spans="1: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</row>
    <row r="150" spans="1:49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</row>
    <row r="151" spans="1:49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</row>
    <row r="152" spans="1:49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</row>
    <row r="153" spans="1:49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</row>
    <row r="154" spans="1:49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</row>
    <row r="155" spans="1:49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</row>
    <row r="156" spans="1:49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</row>
    <row r="157" spans="1:49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</row>
    <row r="158" spans="1:49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</row>
    <row r="159" spans="1:4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</row>
    <row r="160" spans="1:49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</row>
    <row r="161" spans="1:49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</row>
    <row r="162" spans="1:49"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</row>
    <row r="163" spans="1:49"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</row>
    <row r="164" spans="1:49"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</row>
    <row r="165" spans="1:49"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</row>
    <row r="166" spans="1:49"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</row>
    <row r="167" spans="1:49"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</row>
    <row r="168" spans="1:49"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</row>
    <row r="169" spans="1:49"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</row>
    <row r="170" spans="1:49"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</row>
    <row r="171" spans="1:49"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</row>
    <row r="172" spans="1:49"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</row>
    <row r="173" spans="1:49"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</row>
    <row r="174" spans="1:49"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</row>
    <row r="175" spans="1:49"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</row>
    <row r="176" spans="1:49"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</row>
    <row r="177" spans="15:49"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</row>
    <row r="178" spans="15:49"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</row>
    <row r="179" spans="15:49"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</row>
    <row r="180" spans="15:49"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</row>
    <row r="181" spans="15:49"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</row>
    <row r="182" spans="15:49"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</row>
    <row r="183" spans="15:49"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</row>
    <row r="184" spans="15:49"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</row>
    <row r="185" spans="15:49"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</row>
    <row r="186" spans="15:49"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</row>
    <row r="187" spans="15:49"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</row>
    <row r="188" spans="15:49"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</row>
    <row r="189" spans="15:49"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</row>
    <row r="190" spans="15:49"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</row>
    <row r="191" spans="15:49"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</row>
    <row r="192" spans="15:49"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</row>
    <row r="193" spans="15:49"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</row>
    <row r="194" spans="15:49"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</row>
    <row r="195" spans="15:49"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</row>
    <row r="196" spans="15:49"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</row>
    <row r="197" spans="15:49"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</row>
    <row r="198" spans="15:49"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</row>
    <row r="199" spans="15:49"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</row>
    <row r="200" spans="15:49"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</row>
    <row r="201" spans="15:49"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</row>
    <row r="202" spans="15:49"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</row>
    <row r="203" spans="15:49"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</row>
    <row r="204" spans="15:49"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</row>
    <row r="205" spans="15:49"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</row>
    <row r="206" spans="15:49"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</row>
    <row r="207" spans="15:49"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</row>
    <row r="208" spans="15:49"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</row>
    <row r="209" spans="15:49"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</row>
    <row r="210" spans="15:49"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</row>
    <row r="211" spans="15:49"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</row>
    <row r="212" spans="15:49"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</row>
    <row r="213" spans="15:49"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</row>
    <row r="214" spans="15:49"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</row>
    <row r="215" spans="15:49"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</row>
    <row r="216" spans="15:49"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</row>
    <row r="217" spans="15:49"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</row>
    <row r="218" spans="15:49"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</row>
    <row r="219" spans="15:49"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</row>
    <row r="220" spans="15:49"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</row>
    <row r="221" spans="15:49"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</row>
    <row r="222" spans="15:49"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</row>
    <row r="223" spans="15:49"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</row>
    <row r="224" spans="15:49"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</row>
    <row r="225" spans="15:49"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</row>
    <row r="226" spans="15:49"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</row>
    <row r="227" spans="15:49"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</row>
    <row r="228" spans="15:49"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</row>
    <row r="229" spans="15:49"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</row>
    <row r="230" spans="15:49"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</row>
    <row r="231" spans="15:49"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</row>
    <row r="232" spans="15:49"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</row>
    <row r="233" spans="15:49"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</row>
    <row r="234" spans="15:49"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</row>
    <row r="235" spans="15:49"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</row>
    <row r="236" spans="15:49"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</row>
    <row r="237" spans="15:49"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</row>
    <row r="238" spans="15:49"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</row>
    <row r="239" spans="15:49"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</row>
    <row r="240" spans="15:49"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</row>
    <row r="241" spans="15:49"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</row>
    <row r="242" spans="15:49"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</row>
    <row r="243" spans="15:49"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</row>
    <row r="244" spans="15:49"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</row>
    <row r="245" spans="15:49"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</row>
    <row r="246" spans="15:49"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</row>
    <row r="247" spans="15:49"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</row>
    <row r="248" spans="15:49"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</row>
    <row r="249" spans="15:49"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</row>
    <row r="250" spans="15:49"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</row>
    <row r="251" spans="15:49"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</row>
    <row r="252" spans="15:49"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</row>
    <row r="253" spans="15:49"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</row>
    <row r="254" spans="15:49"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</row>
    <row r="255" spans="15:49"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</row>
    <row r="256" spans="15:49"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</row>
    <row r="257" spans="15:49"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</row>
    <row r="258" spans="15:49"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</row>
    <row r="259" spans="15:49"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</row>
    <row r="260" spans="15:49"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</row>
    <row r="261" spans="15:49"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</row>
    <row r="262" spans="15:49"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</row>
    <row r="263" spans="15:49"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</row>
    <row r="264" spans="15:49"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</row>
    <row r="265" spans="15:49"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</row>
    <row r="266" spans="15:49"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</row>
    <row r="267" spans="15:49"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</row>
    <row r="268" spans="15:49"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</row>
    <row r="269" spans="15:49"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</row>
    <row r="270" spans="15:49"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</row>
    <row r="271" spans="15:49"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</row>
    <row r="272" spans="15:49"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</row>
    <row r="273" spans="15:49"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</row>
    <row r="274" spans="15:49"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</row>
    <row r="275" spans="15:49"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</row>
    <row r="276" spans="15:49"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</row>
    <row r="277" spans="15:49"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</row>
    <row r="278" spans="15:49"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</row>
    <row r="279" spans="15:49"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</row>
    <row r="280" spans="15:49"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</row>
    <row r="281" spans="15:49"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</row>
    <row r="282" spans="15:49"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</row>
    <row r="283" spans="15:49"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</row>
    <row r="284" spans="15:49"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</row>
    <row r="285" spans="15:49"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</row>
    <row r="286" spans="15:49"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</row>
    <row r="287" spans="15:49"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</row>
    <row r="288" spans="15:49"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</row>
    <row r="289" spans="15:49"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</row>
    <row r="290" spans="15:49"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</row>
    <row r="291" spans="15:49"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</row>
    <row r="292" spans="15:49"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</row>
    <row r="293" spans="15:49"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</row>
    <row r="294" spans="15:49"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</row>
    <row r="295" spans="15:49"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</row>
    <row r="296" spans="15:49"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</row>
    <row r="297" spans="15:49"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</row>
    <row r="298" spans="15:49"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</row>
    <row r="299" spans="15:49"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</row>
    <row r="300" spans="15:49"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</row>
    <row r="301" spans="15:49"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</row>
    <row r="302" spans="15:49"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</row>
    <row r="303" spans="15:49"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</row>
    <row r="304" spans="15:49"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</row>
    <row r="305" spans="15:49"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</row>
    <row r="306" spans="15:49"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</row>
    <row r="307" spans="15:49"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</row>
    <row r="308" spans="15:49"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</row>
    <row r="309" spans="15:49"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</row>
    <row r="310" spans="15:49"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</row>
    <row r="311" spans="15:49"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</row>
    <row r="312" spans="15:49"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</row>
    <row r="313" spans="15:49"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</row>
    <row r="314" spans="15:49"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</row>
    <row r="315" spans="15:49"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</row>
    <row r="316" spans="15:49"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</row>
    <row r="317" spans="15:49"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</row>
    <row r="318" spans="15:49"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</row>
    <row r="319" spans="15:49"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</row>
    <row r="320" spans="15:49"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</row>
    <row r="321" spans="15:49"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</row>
    <row r="322" spans="15:49"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</row>
    <row r="323" spans="15:49"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</row>
    <row r="324" spans="15:49"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</row>
    <row r="325" spans="15:49"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</row>
    <row r="326" spans="15:49"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</row>
    <row r="327" spans="15:49"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</row>
    <row r="328" spans="15:49"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</row>
    <row r="329" spans="15:49"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</row>
    <row r="330" spans="15:49"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</row>
    <row r="331" spans="15:49"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</row>
    <row r="332" spans="15:49"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</row>
    <row r="333" spans="15:49"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</row>
    <row r="334" spans="15:49"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</row>
    <row r="335" spans="15:49"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</row>
    <row r="336" spans="15:49"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</row>
    <row r="337" spans="15:49"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</row>
    <row r="338" spans="15:49"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</row>
    <row r="339" spans="15:49"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</row>
    <row r="340" spans="15:49"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</row>
    <row r="341" spans="15:49"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</row>
    <row r="342" spans="15:49"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</row>
    <row r="343" spans="15:49"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</row>
    <row r="344" spans="15:49"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</row>
    <row r="345" spans="15:49"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</row>
    <row r="346" spans="15:49"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</row>
    <row r="347" spans="15:49"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</row>
    <row r="348" spans="15:49"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</row>
    <row r="349" spans="15:49"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</row>
    <row r="350" spans="15:49"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</row>
    <row r="351" spans="15:49"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</row>
    <row r="352" spans="15:49"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</row>
    <row r="353" spans="15:49"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</row>
    <row r="354" spans="15:49"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</row>
    <row r="355" spans="15:49"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</row>
    <row r="356" spans="15:49"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</row>
    <row r="357" spans="15:49"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</row>
    <row r="358" spans="15:49"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</row>
    <row r="359" spans="15:49"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</row>
    <row r="360" spans="15:49"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</row>
    <row r="361" spans="15:49"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</row>
    <row r="362" spans="15:49"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</row>
    <row r="363" spans="15:49"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</row>
    <row r="364" spans="15:49"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</row>
    <row r="365" spans="15:49"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</row>
    <row r="366" spans="15:49"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</row>
    <row r="367" spans="15:49"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</row>
    <row r="368" spans="15:49"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</row>
    <row r="369" spans="15:49"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</row>
    <row r="370" spans="15:49"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</row>
    <row r="371" spans="15:49"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</row>
    <row r="372" spans="15:49"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</row>
    <row r="373" spans="15:49"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</row>
    <row r="374" spans="15:49"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</row>
    <row r="375" spans="15:49"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</row>
    <row r="376" spans="15:49"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</row>
    <row r="377" spans="15:49"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</row>
    <row r="378" spans="15:49"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</row>
    <row r="379" spans="15:49"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</row>
    <row r="380" spans="15:49"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</row>
    <row r="381" spans="15:49"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</row>
    <row r="382" spans="15:49"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</row>
    <row r="383" spans="15:49"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</row>
    <row r="384" spans="15:49"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</row>
    <row r="385" spans="15:49"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</row>
    <row r="386" spans="15:49"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</row>
    <row r="387" spans="15:49"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</row>
    <row r="388" spans="15:49"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</row>
    <row r="389" spans="15:49"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</row>
    <row r="390" spans="15:49"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</row>
    <row r="391" spans="15:49"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</row>
    <row r="392" spans="15:49"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</row>
    <row r="393" spans="15:49"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</row>
    <row r="394" spans="15:49"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</row>
    <row r="395" spans="15:49"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</row>
    <row r="396" spans="15:49"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</row>
    <row r="397" spans="15:49"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</row>
    <row r="398" spans="15:49"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</row>
    <row r="399" spans="15:49"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</row>
    <row r="400" spans="15:49"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</row>
    <row r="401" spans="15:49"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</row>
    <row r="402" spans="15:49"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</row>
    <row r="403" spans="15:49"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</row>
    <row r="404" spans="15:49"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</row>
    <row r="405" spans="15:49"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</row>
    <row r="406" spans="15:49"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</row>
    <row r="407" spans="15:49"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</row>
    <row r="408" spans="15:49"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</row>
    <row r="409" spans="15:49"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</row>
    <row r="410" spans="15:49"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</row>
    <row r="411" spans="15:49"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</row>
    <row r="412" spans="15:49"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</row>
    <row r="413" spans="15:49"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</row>
    <row r="414" spans="15:49"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</row>
    <row r="415" spans="15:49"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</row>
    <row r="416" spans="15:49"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</row>
    <row r="417" spans="15:49"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</row>
    <row r="418" spans="15:49"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</row>
    <row r="419" spans="15:49"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</row>
    <row r="420" spans="15:49"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</row>
    <row r="421" spans="15:49"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</row>
    <row r="422" spans="15:49"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</row>
    <row r="423" spans="15:49"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</row>
    <row r="424" spans="15:49"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</row>
    <row r="425" spans="15:49"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</row>
    <row r="426" spans="15:49"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</row>
    <row r="427" spans="15:49"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</row>
    <row r="428" spans="15:49"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</row>
    <row r="429" spans="15:49"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</row>
    <row r="430" spans="15:49"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</row>
    <row r="431" spans="15:49"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</row>
    <row r="432" spans="15:49"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</row>
    <row r="433" spans="15:49"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</row>
    <row r="434" spans="15:49"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</row>
    <row r="435" spans="15:49"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</row>
    <row r="436" spans="15:49"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</row>
    <row r="437" spans="15:49"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</row>
    <row r="438" spans="15:49"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</row>
    <row r="439" spans="15:49"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</row>
    <row r="440" spans="15:49"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</row>
    <row r="441" spans="15:49"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</row>
    <row r="442" spans="15:49"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</row>
    <row r="443" spans="15:49"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</row>
    <row r="444" spans="15:49"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</row>
    <row r="445" spans="15:49"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</row>
    <row r="446" spans="15:49"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</row>
    <row r="447" spans="15:49"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</row>
    <row r="448" spans="15:49"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</row>
    <row r="449" spans="15:49"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</row>
    <row r="450" spans="15:49"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</row>
    <row r="451" spans="15:49"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</row>
    <row r="452" spans="15:49"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</row>
    <row r="453" spans="15:49"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</row>
    <row r="454" spans="15:49"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</row>
    <row r="455" spans="15:49"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</row>
    <row r="456" spans="15:49"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</row>
    <row r="457" spans="15:49"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</row>
    <row r="458" spans="15:49"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</row>
    <row r="459" spans="15:49"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</row>
    <row r="460" spans="15:49"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</row>
    <row r="461" spans="15:49"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</row>
    <row r="462" spans="15:49"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</row>
    <row r="463" spans="15:49"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</row>
    <row r="464" spans="15:49"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</row>
    <row r="465" spans="15:49"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</row>
    <row r="466" spans="15:49"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</row>
    <row r="467" spans="15:49"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</row>
    <row r="468" spans="15:49"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</row>
    <row r="469" spans="15:49"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</row>
    <row r="470" spans="15:49"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</row>
    <row r="471" spans="15:49"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</row>
    <row r="472" spans="15:49"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</row>
    <row r="473" spans="15:49"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</row>
    <row r="474" spans="15:49"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</row>
    <row r="475" spans="15:49"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</row>
    <row r="476" spans="15:49"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</row>
    <row r="477" spans="15:49"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</row>
    <row r="478" spans="15:49"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</row>
    <row r="479" spans="15:49"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</row>
    <row r="480" spans="15:49"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</row>
    <row r="481" spans="15:49"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</row>
    <row r="482" spans="15:49"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</row>
    <row r="483" spans="15:49"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</row>
    <row r="484" spans="15:49"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</row>
    <row r="485" spans="15:49"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</row>
    <row r="486" spans="15:49"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</row>
    <row r="487" spans="15:49"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</row>
    <row r="488" spans="15:49"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</row>
    <row r="489" spans="15:49"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</row>
    <row r="490" spans="15:49"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</row>
    <row r="491" spans="15:49"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</row>
    <row r="492" spans="15:49"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</row>
    <row r="493" spans="15:49"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</row>
    <row r="494" spans="15:49"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</row>
    <row r="495" spans="15:49"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</row>
    <row r="496" spans="15:49"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</row>
    <row r="497" spans="15:49"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</row>
    <row r="498" spans="15:49"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</row>
    <row r="499" spans="15:49"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</row>
    <row r="500" spans="15:49"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</row>
    <row r="501" spans="15:49"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</row>
    <row r="502" spans="15:49"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</row>
    <row r="503" spans="15:49"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</row>
    <row r="504" spans="15:49"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</row>
    <row r="505" spans="15:49"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</row>
    <row r="506" spans="15:49"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</row>
    <row r="507" spans="15:49"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</row>
    <row r="508" spans="15:49"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</row>
    <row r="509" spans="15:49"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</row>
    <row r="510" spans="15:49"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</row>
    <row r="511" spans="15:49"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</row>
    <row r="512" spans="15:49"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</row>
    <row r="513" spans="15:49"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</row>
    <row r="514" spans="15:49"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</row>
    <row r="515" spans="15:49"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</row>
    <row r="516" spans="15:49"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</row>
    <row r="517" spans="15:49"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</row>
    <row r="518" spans="15:49"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</row>
    <row r="519" spans="15:49"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</row>
    <row r="520" spans="15:49"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</row>
    <row r="521" spans="15:49"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</row>
    <row r="522" spans="15:49"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</row>
    <row r="523" spans="15:49"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</row>
    <row r="524" spans="15:49"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</row>
    <row r="525" spans="15:49"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</row>
    <row r="526" spans="15:49"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</row>
    <row r="527" spans="15:49"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</row>
    <row r="528" spans="15:49"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</row>
    <row r="529" spans="15:49"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</row>
    <row r="530" spans="15:49"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</row>
    <row r="531" spans="15:49"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</row>
    <row r="532" spans="15:49"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</row>
    <row r="533" spans="15:49"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</row>
    <row r="534" spans="15:49"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</row>
    <row r="535" spans="15:49"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</row>
    <row r="536" spans="15:49"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</row>
    <row r="537" spans="15:49"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</row>
    <row r="538" spans="15:49"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</row>
    <row r="539" spans="15:49"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</row>
    <row r="540" spans="15:49"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</row>
    <row r="541" spans="15:49"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</row>
    <row r="542" spans="15:49"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</row>
    <row r="543" spans="15:49"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</row>
    <row r="544" spans="15:49"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</row>
    <row r="545" spans="15:49"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</row>
    <row r="546" spans="15:49"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</row>
    <row r="547" spans="15:49"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</row>
    <row r="548" spans="15:49"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</row>
    <row r="549" spans="15:49"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</row>
    <row r="550" spans="15:49"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</row>
    <row r="551" spans="15:49"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</row>
    <row r="552" spans="15:49"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</row>
    <row r="553" spans="15:49"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</row>
    <row r="554" spans="15:49"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</row>
    <row r="555" spans="15:49"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</row>
    <row r="556" spans="15:49"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</row>
    <row r="557" spans="15:49"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</row>
    <row r="558" spans="15:49"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</row>
    <row r="559" spans="15:49"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</row>
    <row r="560" spans="15:49"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</row>
    <row r="561" spans="15:49"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</row>
    <row r="562" spans="15:49"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</row>
    <row r="563" spans="15:49"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</row>
    <row r="564" spans="15:49"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</row>
    <row r="565" spans="15:49"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</row>
    <row r="566" spans="15:49"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</row>
    <row r="567" spans="15:49"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</row>
    <row r="568" spans="15:49"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</row>
    <row r="569" spans="15:49"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</row>
    <row r="570" spans="15:49"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</row>
    <row r="571" spans="15:49"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</row>
    <row r="572" spans="15:49"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</row>
    <row r="573" spans="15:49"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</row>
    <row r="574" spans="15:49"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</row>
    <row r="575" spans="15:49"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</row>
    <row r="576" spans="15:49"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</row>
    <row r="577" spans="15:49"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</row>
    <row r="578" spans="15:49"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</row>
    <row r="579" spans="15:49"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</row>
    <row r="580" spans="15:49"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</row>
    <row r="581" spans="15:49"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</row>
    <row r="582" spans="15:49"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</row>
    <row r="583" spans="15:49"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</row>
    <row r="584" spans="15:49"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</row>
    <row r="585" spans="15:49"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</row>
    <row r="586" spans="15:49"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</row>
    <row r="587" spans="15:49"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</row>
    <row r="588" spans="15:49"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</row>
    <row r="589" spans="15:49"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</row>
    <row r="590" spans="15:49"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</row>
    <row r="591" spans="15:49"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</row>
    <row r="592" spans="15:49"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</row>
    <row r="593" spans="15:49"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</row>
    <row r="594" spans="15:49"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</row>
    <row r="595" spans="15:49"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</row>
    <row r="596" spans="15:49"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</row>
    <row r="597" spans="15:49"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</row>
    <row r="598" spans="15:49"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</row>
    <row r="599" spans="15:49"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</row>
    <row r="600" spans="15:49"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</row>
    <row r="601" spans="15:49"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</row>
    <row r="602" spans="15:49"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</row>
    <row r="603" spans="15:49"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</row>
    <row r="604" spans="15:49"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</row>
    <row r="605" spans="15:49"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</row>
    <row r="606" spans="15:49"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</row>
    <row r="607" spans="15:49"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</row>
    <row r="608" spans="15:49"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</row>
    <row r="609" spans="15:49"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</row>
    <row r="610" spans="15:49"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</row>
    <row r="611" spans="15:49"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</row>
    <row r="612" spans="15:49"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</row>
    <row r="613" spans="15:49"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</row>
    <row r="614" spans="15:49"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</row>
    <row r="615" spans="15:49"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</row>
    <row r="616" spans="15:49"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</row>
    <row r="617" spans="15:49"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</row>
    <row r="618" spans="15:49"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</row>
    <row r="619" spans="15:49"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</row>
    <row r="620" spans="15:49"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</row>
    <row r="621" spans="15:49"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</row>
    <row r="622" spans="15:49"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</row>
    <row r="623" spans="15:49"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</row>
    <row r="624" spans="15:49"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</row>
    <row r="625" spans="15:49"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</row>
    <row r="626" spans="15:49"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</row>
    <row r="627" spans="15:49"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</row>
    <row r="628" spans="15:49"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</row>
    <row r="629" spans="15:49"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</row>
    <row r="630" spans="15:49"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</row>
    <row r="631" spans="15:49"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</row>
    <row r="632" spans="15:49"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</row>
    <row r="633" spans="15:49"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</row>
    <row r="634" spans="15:49"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</row>
    <row r="635" spans="15:49"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</row>
    <row r="636" spans="15:49"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</row>
    <row r="637" spans="15:49"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</row>
    <row r="638" spans="15:49"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</row>
    <row r="639" spans="15:49"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</row>
    <row r="640" spans="15:49"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</row>
    <row r="641" spans="15:49"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</row>
    <row r="642" spans="15:49"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</row>
    <row r="643" spans="15:49"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</row>
    <row r="644" spans="15:49"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</row>
    <row r="645" spans="15:49"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</row>
    <row r="646" spans="15:49"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</row>
    <row r="647" spans="15:49"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</row>
    <row r="648" spans="15:49"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</row>
    <row r="649" spans="15:49"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</row>
    <row r="650" spans="15:49"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</row>
    <row r="651" spans="15:49"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</row>
    <row r="652" spans="15:49"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</row>
    <row r="653" spans="15:49"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</row>
    <row r="654" spans="15:49"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</row>
    <row r="655" spans="15:49"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</row>
    <row r="656" spans="15:49"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</row>
    <row r="657" spans="15:49"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</row>
    <row r="658" spans="15:49"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</row>
    <row r="659" spans="15:49"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</row>
    <row r="660" spans="15:49"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</row>
    <row r="661" spans="15:49"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</row>
    <row r="662" spans="15:49"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</row>
    <row r="663" spans="15:49"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</row>
    <row r="664" spans="15:49"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</row>
    <row r="665" spans="15:49"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</row>
    <row r="666" spans="15:49"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</row>
    <row r="667" spans="15:49"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</row>
    <row r="668" spans="15:49"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</row>
    <row r="669" spans="15:49"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</row>
    <row r="670" spans="15:49"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</row>
    <row r="671" spans="15:49"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</row>
    <row r="672" spans="15:49"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</row>
    <row r="673" spans="15:49"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</row>
    <row r="674" spans="15:49"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</row>
    <row r="675" spans="15:49"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</row>
    <row r="676" spans="15:49"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</row>
    <row r="677" spans="15:49"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</row>
    <row r="678" spans="15:49"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</row>
    <row r="679" spans="15:49"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</row>
    <row r="680" spans="15:49"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</row>
    <row r="681" spans="15:49"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</row>
    <row r="682" spans="15:49"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</row>
    <row r="683" spans="15:49"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</row>
    <row r="684" spans="15:49"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</row>
    <row r="685" spans="15:49"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</row>
    <row r="686" spans="15:49"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</row>
    <row r="687" spans="15:49"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</row>
    <row r="688" spans="15:49"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</row>
    <row r="689" spans="15:49"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</row>
    <row r="690" spans="15:49"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</row>
    <row r="691" spans="15:49"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</row>
    <row r="692" spans="15:49"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</row>
    <row r="693" spans="15:49"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</row>
    <row r="694" spans="15:49"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</row>
    <row r="695" spans="15:49"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</row>
    <row r="696" spans="15:49"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</row>
    <row r="697" spans="15:49"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</row>
    <row r="698" spans="15:49"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</row>
    <row r="699" spans="15:49"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</row>
    <row r="700" spans="15:49"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</row>
    <row r="701" spans="15:49"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</row>
    <row r="702" spans="15:49"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</row>
    <row r="703" spans="15:49"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</row>
    <row r="704" spans="15:49"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</row>
    <row r="705" spans="15:49"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</row>
    <row r="706" spans="15:49"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</row>
    <row r="707" spans="15:49"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</row>
    <row r="708" spans="15:49"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</row>
    <row r="709" spans="15:49"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</row>
    <row r="710" spans="15:49"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</row>
    <row r="711" spans="15:49"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</row>
    <row r="712" spans="15:49"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</row>
    <row r="713" spans="15:49"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</row>
    <row r="714" spans="15:49"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</row>
    <row r="715" spans="15:49"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</row>
    <row r="716" spans="15:49"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</row>
    <row r="717" spans="15:49"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</row>
    <row r="718" spans="15:49"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</row>
    <row r="719" spans="15:49"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</row>
    <row r="720" spans="15:49"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</row>
    <row r="721" spans="15:49"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</row>
    <row r="722" spans="15:49"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</row>
    <row r="723" spans="15:49"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</row>
    <row r="724" spans="15:49"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</row>
    <row r="725" spans="15:49"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</row>
    <row r="726" spans="15:49"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</row>
    <row r="727" spans="15:49"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</row>
    <row r="728" spans="15:49"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</row>
    <row r="729" spans="15:49"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</row>
    <row r="730" spans="15:49"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</row>
    <row r="731" spans="15:49"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</row>
    <row r="732" spans="15:49"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</row>
    <row r="733" spans="15:49"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</row>
    <row r="734" spans="15:49"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</row>
    <row r="735" spans="15:49"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</row>
    <row r="736" spans="15:49"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</row>
    <row r="737" spans="15:49"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</row>
    <row r="738" spans="15:49"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</row>
    <row r="739" spans="15:49"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</row>
    <row r="740" spans="15:49"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</row>
    <row r="741" spans="15:49"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</row>
    <row r="742" spans="15:49"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</row>
    <row r="743" spans="15:49"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</row>
    <row r="744" spans="15:49"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</row>
    <row r="745" spans="15:49"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</row>
    <row r="746" spans="15:49"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</row>
    <row r="747" spans="15:49"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</row>
    <row r="748" spans="15:49"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</row>
    <row r="749" spans="15:49"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</row>
    <row r="750" spans="15:49"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</row>
    <row r="751" spans="15:49"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</row>
    <row r="752" spans="15:49"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</row>
    <row r="753" spans="15:49"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</row>
    <row r="754" spans="15:49"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</row>
    <row r="755" spans="15:49"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</row>
    <row r="756" spans="15:49"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</row>
    <row r="757" spans="15:49"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</row>
    <row r="758" spans="15:49"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</row>
    <row r="759" spans="15:49"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</row>
    <row r="760" spans="15:49"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</row>
    <row r="761" spans="15:49"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</row>
    <row r="762" spans="15:49"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</row>
    <row r="763" spans="15:49"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</row>
    <row r="764" spans="15:49"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</row>
    <row r="765" spans="15:49"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</row>
    <row r="766" spans="15:49"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</row>
    <row r="767" spans="15:49"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</row>
    <row r="768" spans="15:49"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</row>
    <row r="769" spans="15:49"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</row>
    <row r="770" spans="15:49"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</row>
    <row r="771" spans="15:49"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</row>
    <row r="772" spans="15:49"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</row>
    <row r="773" spans="15:49"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</row>
    <row r="774" spans="15:49"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</row>
    <row r="775" spans="15:49"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</row>
    <row r="776" spans="15:49"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</row>
    <row r="777" spans="15:49"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</row>
    <row r="778" spans="15:49"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</row>
    <row r="779" spans="15:49"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</row>
    <row r="780" spans="15:49"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</row>
    <row r="781" spans="15:49"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</row>
    <row r="782" spans="15:49"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</row>
    <row r="783" spans="15:49"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</row>
    <row r="784" spans="15:49"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</row>
    <row r="785" spans="15:49"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</row>
    <row r="786" spans="15:49"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</row>
    <row r="787" spans="15:49"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</row>
    <row r="788" spans="15:49"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</row>
    <row r="789" spans="15:49"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</row>
    <row r="790" spans="15:49"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</row>
    <row r="791" spans="15:49"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</row>
    <row r="792" spans="15:49"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</row>
    <row r="793" spans="15:49"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</row>
    <row r="794" spans="15:49"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</row>
    <row r="795" spans="15:49"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</row>
    <row r="796" spans="15:49"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</row>
    <row r="797" spans="15:49"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</row>
    <row r="798" spans="15:49"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</row>
    <row r="799" spans="15:49"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</row>
    <row r="800" spans="15:49"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</row>
    <row r="801" spans="15:49"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</row>
    <row r="802" spans="15:49"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</row>
    <row r="803" spans="15:49"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</row>
    <row r="804" spans="15:49"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</row>
    <row r="805" spans="15:49"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</row>
    <row r="806" spans="15:49"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</row>
    <row r="807" spans="15:49"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</row>
    <row r="808" spans="15:49"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</row>
    <row r="809" spans="15:49"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</row>
    <row r="810" spans="15:49"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</row>
    <row r="811" spans="15:49"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</row>
    <row r="812" spans="15:49"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</row>
    <row r="813" spans="15:49"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</row>
    <row r="814" spans="15:49"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</row>
    <row r="815" spans="15:49"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</row>
    <row r="816" spans="15:49"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</row>
    <row r="817" spans="15:49"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</row>
    <row r="818" spans="15:49"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</row>
    <row r="819" spans="15:49"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</row>
    <row r="820" spans="15:49"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</row>
    <row r="821" spans="15:49"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</row>
    <row r="822" spans="15:49"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</row>
    <row r="823" spans="15:49"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</row>
    <row r="824" spans="15:49"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</row>
    <row r="825" spans="15:49"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</row>
    <row r="826" spans="15:49"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</row>
    <row r="827" spans="15:49"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</row>
    <row r="828" spans="15:49"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</row>
    <row r="829" spans="15:49"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</row>
    <row r="830" spans="15:49"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</row>
    <row r="831" spans="15:49"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</row>
    <row r="832" spans="15:49"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</row>
    <row r="833" spans="15:49"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</row>
    <row r="834" spans="15:49"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</row>
    <row r="835" spans="15:49"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</row>
    <row r="836" spans="15:49"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</row>
    <row r="837" spans="15:49"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</row>
    <row r="838" spans="15:49"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</row>
    <row r="839" spans="15:49"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</row>
    <row r="840" spans="15:49"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</row>
    <row r="841" spans="15:49"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</row>
    <row r="842" spans="15:49"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</row>
    <row r="843" spans="15:49"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</row>
    <row r="844" spans="15:49"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</row>
    <row r="845" spans="15:49"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</row>
    <row r="846" spans="15:49"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</row>
    <row r="847" spans="15:49"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</row>
    <row r="848" spans="15:49"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</row>
    <row r="849" spans="15:49"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</row>
    <row r="850" spans="15:49"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</row>
    <row r="851" spans="15:49"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</row>
    <row r="852" spans="15:49"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</row>
    <row r="853" spans="15:49"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</row>
    <row r="854" spans="15:49"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</row>
  </sheetData>
  <mergeCells count="53">
    <mergeCell ref="D1:J1"/>
    <mergeCell ref="G2:K2"/>
    <mergeCell ref="D3:J3"/>
    <mergeCell ref="H5:J5"/>
    <mergeCell ref="H6:J6"/>
    <mergeCell ref="K6:L6"/>
    <mergeCell ref="M7:N7"/>
    <mergeCell ref="C8:C9"/>
    <mergeCell ref="D8:D9"/>
    <mergeCell ref="G8:G9"/>
    <mergeCell ref="H8:H9"/>
    <mergeCell ref="M8:M9"/>
    <mergeCell ref="N8:N9"/>
    <mergeCell ref="A14:D14"/>
    <mergeCell ref="K14:L14"/>
    <mergeCell ref="A7:A9"/>
    <mergeCell ref="B7:B9"/>
    <mergeCell ref="C7:G7"/>
    <mergeCell ref="H7:J7"/>
    <mergeCell ref="K7:L7"/>
    <mergeCell ref="J8:J9"/>
    <mergeCell ref="K8:K9"/>
    <mergeCell ref="L8:L9"/>
    <mergeCell ref="E8:E9"/>
    <mergeCell ref="F8:F9"/>
    <mergeCell ref="I8:I9"/>
    <mergeCell ref="C16:D16"/>
    <mergeCell ref="H16:J16"/>
    <mergeCell ref="K16:N16"/>
    <mergeCell ref="C17:D17"/>
    <mergeCell ref="H17:I17"/>
    <mergeCell ref="K17:N17"/>
    <mergeCell ref="C18:D18"/>
    <mergeCell ref="E18:G18"/>
    <mergeCell ref="C19:D19"/>
    <mergeCell ref="E19:G19"/>
    <mergeCell ref="C20:D20"/>
    <mergeCell ref="E20:G20"/>
    <mergeCell ref="C21:D21"/>
    <mergeCell ref="E21:G21"/>
    <mergeCell ref="M21:N21"/>
    <mergeCell ref="C22:D22"/>
    <mergeCell ref="E22:G22"/>
    <mergeCell ref="H22:J22"/>
    <mergeCell ref="K22:N22"/>
    <mergeCell ref="E23:F23"/>
    <mergeCell ref="H23:I23"/>
    <mergeCell ref="M23:N23"/>
    <mergeCell ref="K24:N24"/>
    <mergeCell ref="E25:F25"/>
    <mergeCell ref="H25:I25"/>
    <mergeCell ref="K25:L25"/>
    <mergeCell ref="M25:N25"/>
  </mergeCells>
  <pageMargins left="0.51180555555555496" right="0.51180555555555496" top="0.78749999999999998" bottom="0.78749999999999998" header="0.51180555555555496" footer="0.51180555555555496"/>
  <pageSetup paperSize="9" scale="4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1528-ADA4-4D8B-862D-18049471852E}">
  <sheetPr>
    <pageSetUpPr fitToPage="1"/>
  </sheetPr>
  <dimension ref="A1:AW854"/>
  <sheetViews>
    <sheetView topLeftCell="A6" zoomScale="55" zoomScaleNormal="55" workbookViewId="0">
      <selection activeCell="E18" sqref="E18:G18"/>
    </sheetView>
  </sheetViews>
  <sheetFormatPr defaultColWidth="9.140625" defaultRowHeight="15"/>
  <cols>
    <col min="1" max="1" width="8.7109375" customWidth="1"/>
    <col min="2" max="2" width="60.7109375" customWidth="1"/>
    <col min="3" max="3" width="7.7109375" customWidth="1"/>
    <col min="4" max="4" width="12.7109375" customWidth="1"/>
    <col min="5" max="5" width="16.5703125" customWidth="1"/>
    <col min="6" max="6" width="15.7109375" customWidth="1"/>
    <col min="7" max="7" width="25" customWidth="1"/>
    <col min="8" max="8" width="17.28515625" customWidth="1"/>
    <col min="9" max="9" width="18.7109375" customWidth="1"/>
    <col min="10" max="10" width="20.140625" customWidth="1"/>
    <col min="11" max="11" width="12.5703125" customWidth="1"/>
    <col min="12" max="12" width="24.28515625" customWidth="1"/>
    <col min="13" max="13" width="19.28515625" customWidth="1"/>
    <col min="14" max="14" width="12.7109375" customWidth="1"/>
  </cols>
  <sheetData>
    <row r="1" spans="1:49" s="6" customFormat="1" ht="21.95" customHeight="1">
      <c r="A1" s="1"/>
      <c r="B1" s="2"/>
      <c r="C1" s="2"/>
      <c r="D1" s="189" t="s">
        <v>0</v>
      </c>
      <c r="E1" s="189"/>
      <c r="F1" s="189"/>
      <c r="G1" s="189"/>
      <c r="H1" s="189"/>
      <c r="I1" s="189"/>
      <c r="J1" s="189"/>
      <c r="K1" s="3"/>
      <c r="L1" s="3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s="6" customFormat="1" ht="21.95" customHeight="1">
      <c r="A2" s="7"/>
      <c r="B2" s="8"/>
      <c r="C2" s="8"/>
      <c r="D2" s="136" t="s">
        <v>1</v>
      </c>
      <c r="E2" s="136"/>
      <c r="F2" s="136"/>
      <c r="G2" s="190" t="s">
        <v>2</v>
      </c>
      <c r="H2" s="190"/>
      <c r="I2" s="190"/>
      <c r="J2" s="190"/>
      <c r="K2" s="190"/>
      <c r="L2" s="9"/>
      <c r="M2" s="9"/>
      <c r="N2" s="10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s="6" customFormat="1" ht="21.95" customHeight="1">
      <c r="A3" s="7"/>
      <c r="B3" s="8"/>
      <c r="C3" s="8"/>
      <c r="D3" s="191" t="s">
        <v>3</v>
      </c>
      <c r="E3" s="191"/>
      <c r="F3" s="191"/>
      <c r="G3" s="191"/>
      <c r="H3" s="191"/>
      <c r="I3" s="191"/>
      <c r="J3" s="191"/>
      <c r="K3" s="9"/>
      <c r="L3" s="9"/>
      <c r="M3" s="9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6" customFormat="1" ht="21.95" customHeight="1">
      <c r="A4" s="7"/>
      <c r="B4" s="8"/>
      <c r="C4" s="8"/>
      <c r="D4" s="8"/>
      <c r="E4" s="8"/>
      <c r="F4" s="8"/>
      <c r="G4" s="8"/>
      <c r="H4" s="11"/>
      <c r="I4" s="8"/>
      <c r="J4" s="8"/>
      <c r="K4" s="8"/>
      <c r="L4" s="8"/>
      <c r="M4" s="8"/>
      <c r="N4" s="10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21.95" customHeight="1">
      <c r="A5" s="12"/>
      <c r="B5" s="13" t="str">
        <f>G2</f>
        <v>ELEVARE ENGENHARIA E CONSTRUÇÕES LTDA</v>
      </c>
      <c r="C5" s="14"/>
      <c r="D5" s="14"/>
      <c r="E5" s="15"/>
      <c r="F5" s="15"/>
      <c r="G5" s="14"/>
      <c r="H5" s="192" t="s">
        <v>4</v>
      </c>
      <c r="I5" s="192"/>
      <c r="J5" s="192"/>
      <c r="K5" s="16" t="s">
        <v>5</v>
      </c>
      <c r="L5" s="14"/>
      <c r="M5" s="17"/>
      <c r="N5" s="18">
        <v>3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</row>
    <row r="6" spans="1:49" ht="21.95" customHeight="1">
      <c r="A6" s="20"/>
      <c r="B6" s="21" t="str">
        <f>D1</f>
        <v>OBRA: FKR-018 - RIL</v>
      </c>
      <c r="C6" s="22"/>
      <c r="D6" s="22"/>
      <c r="E6" s="23"/>
      <c r="F6" s="23"/>
      <c r="G6" s="22"/>
      <c r="H6" s="193" t="s">
        <v>46</v>
      </c>
      <c r="I6" s="193"/>
      <c r="J6" s="193"/>
      <c r="K6" s="194" t="s">
        <v>7</v>
      </c>
      <c r="L6" s="194"/>
      <c r="M6" s="24"/>
      <c r="N6" s="110" t="s">
        <v>47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</row>
    <row r="7" spans="1:49" ht="15.75" customHeight="1">
      <c r="A7" s="214" t="s">
        <v>9</v>
      </c>
      <c r="B7" s="203" t="s">
        <v>10</v>
      </c>
      <c r="C7" s="215" t="s">
        <v>11</v>
      </c>
      <c r="D7" s="215"/>
      <c r="E7" s="215"/>
      <c r="F7" s="215"/>
      <c r="G7" s="215"/>
      <c r="H7" s="200" t="s">
        <v>12</v>
      </c>
      <c r="I7" s="200"/>
      <c r="J7" s="200"/>
      <c r="K7" s="201" t="s">
        <v>13</v>
      </c>
      <c r="L7" s="201"/>
      <c r="M7" s="202" t="s">
        <v>14</v>
      </c>
      <c r="N7" s="203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</row>
    <row r="8" spans="1:49" ht="15" customHeight="1">
      <c r="A8" s="214"/>
      <c r="B8" s="203"/>
      <c r="C8" s="204" t="s">
        <v>15</v>
      </c>
      <c r="D8" s="205" t="s">
        <v>16</v>
      </c>
      <c r="E8" s="206" t="s">
        <v>21</v>
      </c>
      <c r="F8" s="208" t="s">
        <v>22</v>
      </c>
      <c r="G8" s="210" t="s">
        <v>17</v>
      </c>
      <c r="H8" s="211" t="s">
        <v>16</v>
      </c>
      <c r="I8" s="212" t="s">
        <v>21</v>
      </c>
      <c r="J8" s="187" t="s">
        <v>18</v>
      </c>
      <c r="K8" s="188" t="s">
        <v>16</v>
      </c>
      <c r="L8" s="187" t="s">
        <v>19</v>
      </c>
      <c r="M8" s="202" t="s">
        <v>20</v>
      </c>
      <c r="N8" s="203" t="s">
        <v>15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</row>
    <row r="9" spans="1:49">
      <c r="A9" s="214"/>
      <c r="B9" s="203"/>
      <c r="C9" s="204"/>
      <c r="D9" s="205"/>
      <c r="E9" s="207"/>
      <c r="F9" s="209"/>
      <c r="G9" s="210"/>
      <c r="H9" s="210"/>
      <c r="I9" s="213"/>
      <c r="J9" s="187"/>
      <c r="K9" s="188"/>
      <c r="L9" s="187"/>
      <c r="M9" s="202"/>
      <c r="N9" s="203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1:49" ht="18.75">
      <c r="A10" s="30">
        <v>1</v>
      </c>
      <c r="B10" s="31" t="s">
        <v>23</v>
      </c>
      <c r="C10" s="117" t="s">
        <v>24</v>
      </c>
      <c r="D10" s="32">
        <v>1</v>
      </c>
      <c r="E10" s="33">
        <v>323.73</v>
      </c>
      <c r="F10" s="118"/>
      <c r="G10" s="34">
        <f>E10</f>
        <v>323.73</v>
      </c>
      <c r="H10" s="35">
        <f>Auxiliar!F50</f>
        <v>63</v>
      </c>
      <c r="I10" s="119">
        <f>+E10</f>
        <v>323.73</v>
      </c>
      <c r="J10" s="36">
        <f>+I10*H10</f>
        <v>20394.990000000002</v>
      </c>
      <c r="K10" s="37">
        <f>+H10</f>
        <v>63</v>
      </c>
      <c r="L10" s="38">
        <f>+J10</f>
        <v>20394.990000000002</v>
      </c>
      <c r="M10" s="39"/>
      <c r="N10" s="40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</row>
    <row r="11" spans="1:49" ht="18.75">
      <c r="A11" s="30">
        <v>2</v>
      </c>
      <c r="B11" s="31" t="s">
        <v>25</v>
      </c>
      <c r="C11" s="120" t="s">
        <v>24</v>
      </c>
      <c r="D11" s="32">
        <v>1</v>
      </c>
      <c r="E11" s="33">
        <v>443.63</v>
      </c>
      <c r="F11" s="44"/>
      <c r="G11" s="34">
        <f>E11</f>
        <v>443.63</v>
      </c>
      <c r="H11" s="35">
        <f>Auxiliar!E50</f>
        <v>11</v>
      </c>
      <c r="I11" s="121">
        <f>+E11</f>
        <v>443.63</v>
      </c>
      <c r="J11" s="36">
        <f>+I11*H11</f>
        <v>4879.93</v>
      </c>
      <c r="K11" s="37">
        <f>+H11</f>
        <v>11</v>
      </c>
      <c r="L11" s="38">
        <f>+J11</f>
        <v>4879.93</v>
      </c>
      <c r="M11" s="39"/>
      <c r="N11" s="40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</row>
    <row r="12" spans="1:49" ht="18.75">
      <c r="A12" s="30">
        <v>3</v>
      </c>
      <c r="B12" s="31" t="s">
        <v>26</v>
      </c>
      <c r="C12" s="120" t="s">
        <v>24</v>
      </c>
      <c r="D12" s="32">
        <v>1</v>
      </c>
      <c r="E12" s="33">
        <v>477.42</v>
      </c>
      <c r="F12" s="44"/>
      <c r="G12" s="34">
        <f>E12</f>
        <v>477.42</v>
      </c>
      <c r="H12" s="35">
        <f>Auxiliar!C50</f>
        <v>15</v>
      </c>
      <c r="I12" s="121">
        <f>+E12</f>
        <v>477.42</v>
      </c>
      <c r="J12" s="36">
        <f>+I12*H12</f>
        <v>7161.3</v>
      </c>
      <c r="K12" s="37">
        <f>+H12</f>
        <v>15</v>
      </c>
      <c r="L12" s="38">
        <f>+J12</f>
        <v>7161.3</v>
      </c>
      <c r="M12" s="39"/>
      <c r="N12" s="40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</row>
    <row r="13" spans="1:49" ht="24.95" customHeight="1">
      <c r="A13" s="42"/>
      <c r="B13" s="48"/>
      <c r="C13" s="43"/>
      <c r="D13" s="41"/>
      <c r="E13" s="49"/>
      <c r="F13" s="50"/>
      <c r="G13" s="51"/>
      <c r="H13" s="45"/>
      <c r="I13" s="111"/>
      <c r="J13" s="46"/>
      <c r="K13" s="52"/>
      <c r="L13" s="53"/>
      <c r="M13" s="47"/>
      <c r="N13" s="54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</row>
    <row r="14" spans="1:49" ht="24.95" customHeight="1">
      <c r="A14" s="218"/>
      <c r="B14" s="218"/>
      <c r="C14" s="218"/>
      <c r="D14" s="218"/>
      <c r="E14" s="55"/>
      <c r="F14" s="56"/>
      <c r="G14" s="57">
        <f>SUM(G10:G12)</f>
        <v>1244.78</v>
      </c>
      <c r="H14" s="58"/>
      <c r="I14" s="59"/>
      <c r="J14" s="60">
        <f>SUM(J10:J12)</f>
        <v>32436.22</v>
      </c>
      <c r="K14" s="195" t="s">
        <v>27</v>
      </c>
      <c r="L14" s="196"/>
      <c r="M14" s="61">
        <f>+SUM(L10:L12)</f>
        <v>32436.22</v>
      </c>
      <c r="N14" s="62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ht="24.95" customHeight="1">
      <c r="A15" s="63"/>
      <c r="B15" s="64"/>
      <c r="C15" s="64"/>
      <c r="D15" s="64"/>
      <c r="E15" s="65"/>
      <c r="F15" s="65"/>
      <c r="G15" s="65"/>
      <c r="H15" s="66"/>
      <c r="I15" s="65"/>
      <c r="J15" s="65"/>
      <c r="K15" s="65"/>
      <c r="L15" s="64"/>
      <c r="M15" s="65"/>
      <c r="N15" s="67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 ht="30" customHeight="1">
      <c r="A16" s="115"/>
      <c r="B16" s="115" t="s">
        <v>28</v>
      </c>
      <c r="C16" s="197"/>
      <c r="D16" s="197"/>
      <c r="E16" s="68"/>
      <c r="F16" s="68"/>
      <c r="G16" s="69">
        <f>J14</f>
        <v>32436.22</v>
      </c>
      <c r="H16" s="198" t="s">
        <v>29</v>
      </c>
      <c r="I16" s="198"/>
      <c r="J16" s="198"/>
      <c r="K16" s="199" t="s">
        <v>30</v>
      </c>
      <c r="L16" s="199"/>
      <c r="M16" s="199"/>
      <c r="N16" s="19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</row>
    <row r="17" spans="1:49" ht="30" customHeight="1">
      <c r="A17" s="70" t="s">
        <v>9</v>
      </c>
      <c r="B17" s="116" t="s">
        <v>31</v>
      </c>
      <c r="C17" s="223" t="s">
        <v>32</v>
      </c>
      <c r="D17" s="223"/>
      <c r="E17" s="71"/>
      <c r="F17" s="71"/>
      <c r="G17" s="72" t="s">
        <v>33</v>
      </c>
      <c r="H17" s="224" t="s">
        <v>34</v>
      </c>
      <c r="I17" s="224"/>
      <c r="J17" s="73">
        <f>+J23+'MED 02'!J17</f>
        <v>5141.7484999999997</v>
      </c>
      <c r="K17" s="225"/>
      <c r="L17" s="225"/>
      <c r="M17" s="225"/>
      <c r="N17" s="225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</row>
    <row r="18" spans="1:49">
      <c r="A18" s="112">
        <v>1</v>
      </c>
      <c r="B18" s="74" t="s">
        <v>48</v>
      </c>
      <c r="C18" s="226">
        <v>5</v>
      </c>
      <c r="D18" s="226"/>
      <c r="E18" s="227">
        <f>28.14*C18</f>
        <v>140.69999999999999</v>
      </c>
      <c r="F18" s="227"/>
      <c r="G18" s="227"/>
      <c r="H18" s="75"/>
      <c r="I18" s="76"/>
      <c r="J18" s="122"/>
      <c r="K18" s="77"/>
      <c r="L18" s="78"/>
      <c r="M18" s="79"/>
      <c r="N18" s="80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>
      <c r="A19" s="89">
        <v>2</v>
      </c>
      <c r="B19" s="113" t="s">
        <v>49</v>
      </c>
      <c r="C19" s="228">
        <v>1</v>
      </c>
      <c r="D19" s="228"/>
      <c r="E19" s="229">
        <v>62</v>
      </c>
      <c r="F19" s="229"/>
      <c r="G19" s="229"/>
      <c r="H19" s="81"/>
      <c r="I19" s="82"/>
      <c r="J19" s="82"/>
      <c r="K19" s="83"/>
      <c r="L19" s="84"/>
      <c r="M19" s="85"/>
      <c r="N19" s="86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 ht="15" customHeight="1">
      <c r="A20" s="89">
        <v>3</v>
      </c>
      <c r="B20" s="74" t="s">
        <v>50</v>
      </c>
      <c r="C20" s="226">
        <v>4</v>
      </c>
      <c r="D20" s="226"/>
      <c r="E20" s="229">
        <f>6.5*C20</f>
        <v>26</v>
      </c>
      <c r="F20" s="229"/>
      <c r="G20" s="229"/>
      <c r="H20" s="81"/>
      <c r="I20" s="82"/>
      <c r="J20" s="82"/>
      <c r="K20" s="83"/>
      <c r="L20" s="84"/>
      <c r="M20" s="85"/>
      <c r="N20" s="86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</row>
    <row r="21" spans="1:49">
      <c r="A21" s="89">
        <v>4</v>
      </c>
      <c r="B21" s="74" t="s">
        <v>44</v>
      </c>
      <c r="C21" s="226">
        <v>2</v>
      </c>
      <c r="D21" s="226"/>
      <c r="E21" s="229">
        <f>23*C21</f>
        <v>46</v>
      </c>
      <c r="F21" s="229"/>
      <c r="G21" s="229"/>
      <c r="H21" s="81"/>
      <c r="I21" s="82"/>
      <c r="J21" s="82"/>
      <c r="K21" s="87"/>
      <c r="L21" s="88"/>
      <c r="M21" s="227"/>
      <c r="N21" s="227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>
      <c r="A22" s="90">
        <v>5</v>
      </c>
      <c r="B22" s="91"/>
      <c r="C22" s="216"/>
      <c r="D22" s="216"/>
      <c r="E22" s="217"/>
      <c r="F22" s="217"/>
      <c r="G22" s="217"/>
      <c r="H22" s="219"/>
      <c r="I22" s="219"/>
      <c r="J22" s="220"/>
      <c r="K22" s="221"/>
      <c r="L22" s="221"/>
      <c r="M22" s="221"/>
      <c r="N22" s="222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</row>
    <row r="23" spans="1:49" ht="24.95" customHeight="1">
      <c r="A23" s="92"/>
      <c r="B23" s="93"/>
      <c r="C23" s="94"/>
      <c r="D23" s="95"/>
      <c r="E23" s="230" t="s">
        <v>35</v>
      </c>
      <c r="F23" s="230"/>
      <c r="G23" s="96">
        <f>+SUM(E18:G22)</f>
        <v>274.7</v>
      </c>
      <c r="H23" s="231" t="s">
        <v>36</v>
      </c>
      <c r="I23" s="231"/>
      <c r="J23" s="97">
        <f>G25*0.05</f>
        <v>1608.076</v>
      </c>
      <c r="K23" s="124" t="s">
        <v>37</v>
      </c>
      <c r="L23" s="95"/>
      <c r="M23" s="232">
        <f>M21</f>
        <v>0</v>
      </c>
      <c r="N23" s="232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</row>
    <row r="24" spans="1:49" ht="24.95" customHeight="1">
      <c r="A24" s="98"/>
      <c r="B24" s="99"/>
      <c r="C24" s="100"/>
      <c r="D24" s="101"/>
      <c r="E24" s="102"/>
      <c r="F24" s="103"/>
      <c r="G24" s="104"/>
      <c r="H24" s="105"/>
      <c r="I24" s="106"/>
      <c r="J24" s="106"/>
      <c r="K24" s="233"/>
      <c r="L24" s="233"/>
      <c r="M24" s="233"/>
      <c r="N24" s="233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</row>
    <row r="25" spans="1:49" ht="24.95" customHeight="1">
      <c r="A25" s="114"/>
      <c r="B25" s="107" t="s">
        <v>38</v>
      </c>
      <c r="C25" s="108"/>
      <c r="D25" s="68"/>
      <c r="E25" s="234" t="s">
        <v>39</v>
      </c>
      <c r="F25" s="234"/>
      <c r="G25" s="109">
        <f>G16-G23</f>
        <v>32161.52</v>
      </c>
      <c r="H25" s="235" t="s">
        <v>40</v>
      </c>
      <c r="I25" s="235"/>
      <c r="J25" s="123">
        <f>G25-J23</f>
        <v>30553.444</v>
      </c>
      <c r="K25" s="236" t="s">
        <v>41</v>
      </c>
      <c r="L25" s="236"/>
      <c r="M25" s="237">
        <f>+J25-M23</f>
        <v>30553.444</v>
      </c>
      <c r="N25" s="237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</row>
    <row r="26" spans="1:49" ht="6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>
        <v>30466.5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</row>
    <row r="27" spans="1:49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</row>
    <row r="28" spans="1:49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</row>
    <row r="29" spans="1:4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</row>
    <row r="30" spans="1:49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</row>
    <row r="31" spans="1:49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</row>
    <row r="32" spans="1:49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</row>
    <row r="33" spans="1:49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</row>
    <row r="34" spans="1:49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</row>
    <row r="35" spans="1:49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</row>
    <row r="36" spans="1:49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</row>
    <row r="37" spans="1:49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</row>
    <row r="38" spans="1:49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</row>
    <row r="39" spans="1:4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</row>
    <row r="40" spans="1:49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</row>
    <row r="41" spans="1:49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</row>
    <row r="42" spans="1:49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1:49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</row>
    <row r="44" spans="1:49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</row>
    <row r="45" spans="1:49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</row>
    <row r="46" spans="1:49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</row>
    <row r="47" spans="1:49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</row>
    <row r="48" spans="1:49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</row>
    <row r="49" spans="1: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</row>
    <row r="50" spans="1:49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</row>
    <row r="51" spans="1:49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</row>
    <row r="52" spans="1:49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</row>
    <row r="53" spans="1:49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</row>
    <row r="54" spans="1:49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</row>
    <row r="55" spans="1:49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</row>
    <row r="56" spans="1:49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</row>
    <row r="57" spans="1:49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</row>
    <row r="58" spans="1:49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</row>
    <row r="59" spans="1:4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</row>
    <row r="60" spans="1:49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</row>
    <row r="61" spans="1:49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</row>
    <row r="62" spans="1:49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</row>
    <row r="63" spans="1:49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</row>
    <row r="64" spans="1:49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</row>
    <row r="65" spans="1:49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</row>
    <row r="66" spans="1:49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</row>
    <row r="67" spans="1:49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</row>
    <row r="68" spans="1:49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</row>
    <row r="69" spans="1:4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</row>
    <row r="70" spans="1:49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</row>
    <row r="71" spans="1:49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</row>
    <row r="72" spans="1:49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</row>
    <row r="73" spans="1:49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</row>
    <row r="74" spans="1:49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</row>
    <row r="75" spans="1:49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</row>
    <row r="76" spans="1:49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</row>
    <row r="77" spans="1:49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</row>
    <row r="78" spans="1:49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</row>
    <row r="79" spans="1:4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</row>
    <row r="80" spans="1:49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</row>
    <row r="81" spans="1:49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</row>
    <row r="82" spans="1:49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</row>
    <row r="83" spans="1:49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</row>
    <row r="84" spans="1:49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</row>
    <row r="85" spans="1:49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</row>
    <row r="86" spans="1:49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</row>
    <row r="87" spans="1:49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</row>
    <row r="88" spans="1:49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</row>
    <row r="89" spans="1:4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</row>
    <row r="90" spans="1:49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</row>
    <row r="91" spans="1:49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</row>
    <row r="92" spans="1:49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</row>
    <row r="93" spans="1:49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</row>
    <row r="94" spans="1:49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</row>
    <row r="95" spans="1:49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</row>
    <row r="96" spans="1:49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</row>
    <row r="97" spans="1:49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</row>
    <row r="98" spans="1:49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</row>
    <row r="99" spans="1:4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</row>
    <row r="100" spans="1:49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</row>
    <row r="101" spans="1:49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</row>
    <row r="102" spans="1:49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</row>
    <row r="103" spans="1:49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</row>
    <row r="104" spans="1:49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</row>
    <row r="105" spans="1:49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</row>
    <row r="106" spans="1:49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</row>
    <row r="107" spans="1:49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</row>
    <row r="108" spans="1:49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</row>
    <row r="109" spans="1:4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</row>
    <row r="110" spans="1:49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</row>
    <row r="111" spans="1:49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</row>
    <row r="112" spans="1:49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</row>
    <row r="113" spans="1:49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</row>
    <row r="114" spans="1:49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</row>
    <row r="115" spans="1:49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</row>
    <row r="116" spans="1:49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</row>
    <row r="117" spans="1:49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</row>
    <row r="118" spans="1:49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</row>
    <row r="119" spans="1:4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</row>
    <row r="120" spans="1:49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</row>
    <row r="121" spans="1:49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</row>
    <row r="122" spans="1:49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</row>
    <row r="123" spans="1:49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</row>
    <row r="124" spans="1:49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</row>
    <row r="125" spans="1:49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</row>
    <row r="126" spans="1:49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</row>
    <row r="127" spans="1:49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</row>
    <row r="128" spans="1:49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</row>
    <row r="129" spans="1:4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</row>
    <row r="130" spans="1:49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</row>
    <row r="131" spans="1:49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</row>
    <row r="132" spans="1:49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</row>
    <row r="133" spans="1:49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</row>
    <row r="134" spans="1:49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</row>
    <row r="135" spans="1:4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</row>
    <row r="136" spans="1:4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</row>
    <row r="137" spans="1:49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</row>
    <row r="138" spans="1:49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</row>
    <row r="139" spans="1:4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</row>
    <row r="140" spans="1:49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</row>
    <row r="141" spans="1:49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</row>
    <row r="142" spans="1:49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</row>
    <row r="143" spans="1:49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</row>
    <row r="144" spans="1:49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</row>
    <row r="145" spans="1:49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</row>
    <row r="146" spans="1:49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</row>
    <row r="147" spans="1:49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</row>
    <row r="148" spans="1:49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</row>
    <row r="149" spans="1: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</row>
    <row r="150" spans="1:49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</row>
    <row r="151" spans="1:49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</row>
    <row r="152" spans="1:49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</row>
    <row r="153" spans="1:49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</row>
    <row r="154" spans="1:49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</row>
    <row r="155" spans="1:49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</row>
    <row r="156" spans="1:49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</row>
    <row r="157" spans="1:49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</row>
    <row r="158" spans="1:49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</row>
    <row r="159" spans="1:4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</row>
    <row r="160" spans="1:49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</row>
    <row r="161" spans="1:49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</row>
    <row r="162" spans="1:49"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</row>
    <row r="163" spans="1:49"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</row>
    <row r="164" spans="1:49"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</row>
    <row r="165" spans="1:49"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</row>
    <row r="166" spans="1:49"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</row>
    <row r="167" spans="1:49"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</row>
    <row r="168" spans="1:49"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</row>
    <row r="169" spans="1:49"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</row>
    <row r="170" spans="1:49"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</row>
    <row r="171" spans="1:49"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</row>
    <row r="172" spans="1:49"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</row>
    <row r="173" spans="1:49"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</row>
    <row r="174" spans="1:49"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</row>
    <row r="175" spans="1:49"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</row>
    <row r="176" spans="1:49"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</row>
    <row r="177" spans="15:49"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</row>
    <row r="178" spans="15:49"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</row>
    <row r="179" spans="15:49"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</row>
    <row r="180" spans="15:49"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</row>
    <row r="181" spans="15:49"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</row>
    <row r="182" spans="15:49"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</row>
    <row r="183" spans="15:49"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</row>
    <row r="184" spans="15:49"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</row>
    <row r="185" spans="15:49"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</row>
    <row r="186" spans="15:49"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</row>
    <row r="187" spans="15:49"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</row>
    <row r="188" spans="15:49"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</row>
    <row r="189" spans="15:49"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</row>
    <row r="190" spans="15:49"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</row>
    <row r="191" spans="15:49"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</row>
    <row r="192" spans="15:49"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</row>
    <row r="193" spans="15:49"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</row>
    <row r="194" spans="15:49"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</row>
    <row r="195" spans="15:49"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</row>
    <row r="196" spans="15:49"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</row>
    <row r="197" spans="15:49"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</row>
    <row r="198" spans="15:49"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</row>
    <row r="199" spans="15:49"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</row>
    <row r="200" spans="15:49"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</row>
    <row r="201" spans="15:49"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</row>
    <row r="202" spans="15:49"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</row>
    <row r="203" spans="15:49"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</row>
    <row r="204" spans="15:49"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</row>
    <row r="205" spans="15:49"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</row>
    <row r="206" spans="15:49"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</row>
    <row r="207" spans="15:49"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</row>
    <row r="208" spans="15:49"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</row>
    <row r="209" spans="15:49"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</row>
    <row r="210" spans="15:49"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</row>
    <row r="211" spans="15:49"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</row>
    <row r="212" spans="15:49"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</row>
    <row r="213" spans="15:49"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</row>
    <row r="214" spans="15:49"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</row>
    <row r="215" spans="15:49"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</row>
    <row r="216" spans="15:49"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</row>
    <row r="217" spans="15:49"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</row>
    <row r="218" spans="15:49"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</row>
    <row r="219" spans="15:49"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</row>
    <row r="220" spans="15:49"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</row>
    <row r="221" spans="15:49"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</row>
    <row r="222" spans="15:49"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</row>
    <row r="223" spans="15:49"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</row>
    <row r="224" spans="15:49"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</row>
    <row r="225" spans="15:49"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</row>
    <row r="226" spans="15:49"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</row>
    <row r="227" spans="15:49"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</row>
    <row r="228" spans="15:49"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</row>
    <row r="229" spans="15:49"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</row>
    <row r="230" spans="15:49"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</row>
    <row r="231" spans="15:49"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</row>
    <row r="232" spans="15:49"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</row>
    <row r="233" spans="15:49"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</row>
    <row r="234" spans="15:49"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</row>
    <row r="235" spans="15:49"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</row>
    <row r="236" spans="15:49"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</row>
    <row r="237" spans="15:49"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</row>
    <row r="238" spans="15:49"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</row>
    <row r="239" spans="15:49"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</row>
    <row r="240" spans="15:49"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</row>
    <row r="241" spans="15:49"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</row>
    <row r="242" spans="15:49"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</row>
    <row r="243" spans="15:49"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</row>
    <row r="244" spans="15:49"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</row>
    <row r="245" spans="15:49"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</row>
    <row r="246" spans="15:49"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</row>
    <row r="247" spans="15:49"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</row>
    <row r="248" spans="15:49"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</row>
    <row r="249" spans="15:49"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</row>
    <row r="250" spans="15:49"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</row>
    <row r="251" spans="15:49"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</row>
    <row r="252" spans="15:49"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</row>
    <row r="253" spans="15:49"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</row>
    <row r="254" spans="15:49"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</row>
    <row r="255" spans="15:49"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</row>
    <row r="256" spans="15:49"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</row>
    <row r="257" spans="15:49"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</row>
    <row r="258" spans="15:49"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</row>
    <row r="259" spans="15:49"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</row>
    <row r="260" spans="15:49"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</row>
    <row r="261" spans="15:49"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</row>
    <row r="262" spans="15:49"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</row>
    <row r="263" spans="15:49"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</row>
    <row r="264" spans="15:49"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</row>
    <row r="265" spans="15:49"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</row>
    <row r="266" spans="15:49"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</row>
    <row r="267" spans="15:49"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</row>
    <row r="268" spans="15:49"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</row>
    <row r="269" spans="15:49"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</row>
    <row r="270" spans="15:49"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</row>
    <row r="271" spans="15:49"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</row>
    <row r="272" spans="15:49"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</row>
    <row r="273" spans="15:49"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</row>
    <row r="274" spans="15:49"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</row>
    <row r="275" spans="15:49"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</row>
    <row r="276" spans="15:49"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</row>
    <row r="277" spans="15:49"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</row>
    <row r="278" spans="15:49"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</row>
    <row r="279" spans="15:49"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</row>
    <row r="280" spans="15:49"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</row>
    <row r="281" spans="15:49"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</row>
    <row r="282" spans="15:49"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</row>
    <row r="283" spans="15:49"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</row>
    <row r="284" spans="15:49"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</row>
    <row r="285" spans="15:49"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</row>
    <row r="286" spans="15:49"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</row>
    <row r="287" spans="15:49"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</row>
    <row r="288" spans="15:49"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</row>
    <row r="289" spans="15:49"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</row>
    <row r="290" spans="15:49"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</row>
    <row r="291" spans="15:49"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</row>
    <row r="292" spans="15:49"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</row>
    <row r="293" spans="15:49"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</row>
    <row r="294" spans="15:49"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</row>
    <row r="295" spans="15:49"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</row>
    <row r="296" spans="15:49"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</row>
    <row r="297" spans="15:49"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</row>
    <row r="298" spans="15:49"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</row>
    <row r="299" spans="15:49"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</row>
    <row r="300" spans="15:49"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</row>
    <row r="301" spans="15:49"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</row>
    <row r="302" spans="15:49"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</row>
    <row r="303" spans="15:49"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</row>
    <row r="304" spans="15:49"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</row>
    <row r="305" spans="15:49"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</row>
    <row r="306" spans="15:49"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</row>
    <row r="307" spans="15:49"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</row>
    <row r="308" spans="15:49"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</row>
    <row r="309" spans="15:49"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</row>
    <row r="310" spans="15:49"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</row>
    <row r="311" spans="15:49"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</row>
    <row r="312" spans="15:49"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</row>
    <row r="313" spans="15:49"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</row>
    <row r="314" spans="15:49"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</row>
    <row r="315" spans="15:49"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</row>
    <row r="316" spans="15:49"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</row>
    <row r="317" spans="15:49"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</row>
    <row r="318" spans="15:49"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</row>
    <row r="319" spans="15:49"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</row>
    <row r="320" spans="15:49"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</row>
    <row r="321" spans="15:49"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</row>
    <row r="322" spans="15:49"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</row>
    <row r="323" spans="15:49"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</row>
    <row r="324" spans="15:49"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</row>
    <row r="325" spans="15:49"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</row>
    <row r="326" spans="15:49"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</row>
    <row r="327" spans="15:49"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</row>
    <row r="328" spans="15:49"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</row>
    <row r="329" spans="15:49"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</row>
    <row r="330" spans="15:49"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</row>
    <row r="331" spans="15:49"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</row>
    <row r="332" spans="15:49"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</row>
    <row r="333" spans="15:49"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</row>
    <row r="334" spans="15:49"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</row>
    <row r="335" spans="15:49"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</row>
    <row r="336" spans="15:49"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</row>
    <row r="337" spans="15:49"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</row>
    <row r="338" spans="15:49"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</row>
    <row r="339" spans="15:49"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</row>
    <row r="340" spans="15:49"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</row>
    <row r="341" spans="15:49"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</row>
    <row r="342" spans="15:49"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</row>
    <row r="343" spans="15:49"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</row>
    <row r="344" spans="15:49"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</row>
    <row r="345" spans="15:49"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</row>
    <row r="346" spans="15:49"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</row>
    <row r="347" spans="15:49"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</row>
    <row r="348" spans="15:49"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</row>
    <row r="349" spans="15:49"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</row>
    <row r="350" spans="15:49"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</row>
    <row r="351" spans="15:49"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</row>
    <row r="352" spans="15:49"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</row>
    <row r="353" spans="15:49"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</row>
    <row r="354" spans="15:49"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</row>
    <row r="355" spans="15:49"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</row>
    <row r="356" spans="15:49"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</row>
    <row r="357" spans="15:49"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</row>
    <row r="358" spans="15:49"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</row>
    <row r="359" spans="15:49"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</row>
    <row r="360" spans="15:49"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</row>
    <row r="361" spans="15:49"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</row>
    <row r="362" spans="15:49"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</row>
    <row r="363" spans="15:49"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</row>
    <row r="364" spans="15:49"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</row>
    <row r="365" spans="15:49"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</row>
    <row r="366" spans="15:49"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</row>
    <row r="367" spans="15:49"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</row>
    <row r="368" spans="15:49"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</row>
    <row r="369" spans="15:49"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</row>
    <row r="370" spans="15:49"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</row>
    <row r="371" spans="15:49"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</row>
    <row r="372" spans="15:49"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</row>
    <row r="373" spans="15:49"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</row>
    <row r="374" spans="15:49"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</row>
    <row r="375" spans="15:49"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</row>
    <row r="376" spans="15:49"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</row>
    <row r="377" spans="15:49"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</row>
    <row r="378" spans="15:49"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</row>
    <row r="379" spans="15:49"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</row>
    <row r="380" spans="15:49"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</row>
    <row r="381" spans="15:49"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</row>
    <row r="382" spans="15:49"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</row>
    <row r="383" spans="15:49"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</row>
    <row r="384" spans="15:49"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</row>
    <row r="385" spans="15:49"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</row>
    <row r="386" spans="15:49"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</row>
    <row r="387" spans="15:49"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</row>
    <row r="388" spans="15:49"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</row>
    <row r="389" spans="15:49"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</row>
    <row r="390" spans="15:49"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</row>
    <row r="391" spans="15:49"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</row>
    <row r="392" spans="15:49"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</row>
    <row r="393" spans="15:49"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</row>
    <row r="394" spans="15:49"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</row>
    <row r="395" spans="15:49"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</row>
    <row r="396" spans="15:49"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</row>
    <row r="397" spans="15:49"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</row>
    <row r="398" spans="15:49"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</row>
    <row r="399" spans="15:49"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</row>
    <row r="400" spans="15:49"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</row>
    <row r="401" spans="15:49"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</row>
    <row r="402" spans="15:49"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</row>
    <row r="403" spans="15:49"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</row>
    <row r="404" spans="15:49"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</row>
    <row r="405" spans="15:49"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</row>
    <row r="406" spans="15:49"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</row>
    <row r="407" spans="15:49"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</row>
    <row r="408" spans="15:49"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</row>
    <row r="409" spans="15:49"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</row>
    <row r="410" spans="15:49"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</row>
    <row r="411" spans="15:49"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</row>
    <row r="412" spans="15:49"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</row>
    <row r="413" spans="15:49"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</row>
    <row r="414" spans="15:49"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</row>
    <row r="415" spans="15:49"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</row>
    <row r="416" spans="15:49"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</row>
    <row r="417" spans="15:49"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</row>
    <row r="418" spans="15:49"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</row>
    <row r="419" spans="15:49"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</row>
    <row r="420" spans="15:49"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</row>
    <row r="421" spans="15:49"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</row>
    <row r="422" spans="15:49"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</row>
    <row r="423" spans="15:49"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</row>
    <row r="424" spans="15:49"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</row>
    <row r="425" spans="15:49"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</row>
    <row r="426" spans="15:49"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</row>
    <row r="427" spans="15:49"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</row>
    <row r="428" spans="15:49"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</row>
    <row r="429" spans="15:49"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</row>
    <row r="430" spans="15:49"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</row>
    <row r="431" spans="15:49"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</row>
    <row r="432" spans="15:49"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</row>
    <row r="433" spans="15:49"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</row>
    <row r="434" spans="15:49"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</row>
    <row r="435" spans="15:49"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</row>
    <row r="436" spans="15:49"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</row>
    <row r="437" spans="15:49"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</row>
    <row r="438" spans="15:49"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</row>
    <row r="439" spans="15:49"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</row>
    <row r="440" spans="15:49"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</row>
    <row r="441" spans="15:49"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</row>
    <row r="442" spans="15:49"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</row>
    <row r="443" spans="15:49"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</row>
    <row r="444" spans="15:49"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</row>
    <row r="445" spans="15:49"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</row>
    <row r="446" spans="15:49"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</row>
    <row r="447" spans="15:49"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</row>
    <row r="448" spans="15:49"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</row>
    <row r="449" spans="15:49"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</row>
    <row r="450" spans="15:49"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</row>
    <row r="451" spans="15:49"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</row>
    <row r="452" spans="15:49"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</row>
    <row r="453" spans="15:49"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</row>
    <row r="454" spans="15:49"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</row>
    <row r="455" spans="15:49"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</row>
    <row r="456" spans="15:49"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</row>
    <row r="457" spans="15:49"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</row>
    <row r="458" spans="15:49"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</row>
    <row r="459" spans="15:49"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</row>
    <row r="460" spans="15:49"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</row>
    <row r="461" spans="15:49"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</row>
    <row r="462" spans="15:49"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</row>
    <row r="463" spans="15:49"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</row>
    <row r="464" spans="15:49"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</row>
    <row r="465" spans="15:49"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</row>
    <row r="466" spans="15:49"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</row>
    <row r="467" spans="15:49"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</row>
    <row r="468" spans="15:49"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</row>
    <row r="469" spans="15:49"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</row>
    <row r="470" spans="15:49"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</row>
    <row r="471" spans="15:49"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</row>
    <row r="472" spans="15:49"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</row>
    <row r="473" spans="15:49"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</row>
    <row r="474" spans="15:49"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</row>
    <row r="475" spans="15:49"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</row>
    <row r="476" spans="15:49"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</row>
    <row r="477" spans="15:49"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</row>
    <row r="478" spans="15:49"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</row>
    <row r="479" spans="15:49"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</row>
    <row r="480" spans="15:49"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</row>
    <row r="481" spans="15:49"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</row>
    <row r="482" spans="15:49"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</row>
    <row r="483" spans="15:49"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</row>
    <row r="484" spans="15:49"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</row>
    <row r="485" spans="15:49"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</row>
    <row r="486" spans="15:49"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</row>
    <row r="487" spans="15:49"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</row>
    <row r="488" spans="15:49"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</row>
    <row r="489" spans="15:49"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</row>
    <row r="490" spans="15:49"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</row>
    <row r="491" spans="15:49"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</row>
    <row r="492" spans="15:49"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</row>
    <row r="493" spans="15:49"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</row>
    <row r="494" spans="15:49"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</row>
    <row r="495" spans="15:49"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</row>
    <row r="496" spans="15:49"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</row>
    <row r="497" spans="15:49"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</row>
    <row r="498" spans="15:49"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</row>
    <row r="499" spans="15:49"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</row>
    <row r="500" spans="15:49"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</row>
    <row r="501" spans="15:49"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</row>
    <row r="502" spans="15:49"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</row>
    <row r="503" spans="15:49"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</row>
    <row r="504" spans="15:49"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</row>
    <row r="505" spans="15:49"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</row>
    <row r="506" spans="15:49"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</row>
    <row r="507" spans="15:49"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</row>
    <row r="508" spans="15:49"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</row>
    <row r="509" spans="15:49"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</row>
    <row r="510" spans="15:49"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</row>
    <row r="511" spans="15:49"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</row>
    <row r="512" spans="15:49"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</row>
    <row r="513" spans="15:49"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</row>
    <row r="514" spans="15:49"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</row>
    <row r="515" spans="15:49"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</row>
    <row r="516" spans="15:49"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</row>
    <row r="517" spans="15:49"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</row>
    <row r="518" spans="15:49"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</row>
    <row r="519" spans="15:49"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</row>
    <row r="520" spans="15:49"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</row>
    <row r="521" spans="15:49"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</row>
    <row r="522" spans="15:49"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</row>
    <row r="523" spans="15:49"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</row>
    <row r="524" spans="15:49"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</row>
    <row r="525" spans="15:49"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</row>
    <row r="526" spans="15:49"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</row>
    <row r="527" spans="15:49"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</row>
    <row r="528" spans="15:49"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</row>
    <row r="529" spans="15:49"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</row>
    <row r="530" spans="15:49"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</row>
    <row r="531" spans="15:49"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</row>
    <row r="532" spans="15:49"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</row>
    <row r="533" spans="15:49"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</row>
    <row r="534" spans="15:49"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</row>
    <row r="535" spans="15:49"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</row>
    <row r="536" spans="15:49"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</row>
    <row r="537" spans="15:49"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</row>
    <row r="538" spans="15:49"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</row>
    <row r="539" spans="15:49"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</row>
    <row r="540" spans="15:49"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</row>
    <row r="541" spans="15:49"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</row>
    <row r="542" spans="15:49"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</row>
    <row r="543" spans="15:49"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</row>
    <row r="544" spans="15:49"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</row>
    <row r="545" spans="15:49"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</row>
    <row r="546" spans="15:49"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</row>
    <row r="547" spans="15:49"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</row>
    <row r="548" spans="15:49"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</row>
    <row r="549" spans="15:49"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</row>
    <row r="550" spans="15:49"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</row>
    <row r="551" spans="15:49"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</row>
    <row r="552" spans="15:49"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</row>
    <row r="553" spans="15:49"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</row>
    <row r="554" spans="15:49"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</row>
    <row r="555" spans="15:49"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</row>
    <row r="556" spans="15:49"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</row>
    <row r="557" spans="15:49"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</row>
    <row r="558" spans="15:49"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</row>
    <row r="559" spans="15:49"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</row>
    <row r="560" spans="15:49"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</row>
    <row r="561" spans="15:49"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</row>
    <row r="562" spans="15:49"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</row>
    <row r="563" spans="15:49"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</row>
    <row r="564" spans="15:49"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</row>
    <row r="565" spans="15:49"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</row>
    <row r="566" spans="15:49"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</row>
    <row r="567" spans="15:49"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</row>
    <row r="568" spans="15:49"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</row>
    <row r="569" spans="15:49"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</row>
    <row r="570" spans="15:49"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</row>
    <row r="571" spans="15:49"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</row>
    <row r="572" spans="15:49"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</row>
    <row r="573" spans="15:49"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</row>
    <row r="574" spans="15:49"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</row>
    <row r="575" spans="15:49"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</row>
    <row r="576" spans="15:49"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</row>
    <row r="577" spans="15:49"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</row>
    <row r="578" spans="15:49"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</row>
    <row r="579" spans="15:49"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</row>
    <row r="580" spans="15:49"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</row>
    <row r="581" spans="15:49"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</row>
    <row r="582" spans="15:49"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</row>
    <row r="583" spans="15:49"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</row>
    <row r="584" spans="15:49"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</row>
    <row r="585" spans="15:49"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</row>
    <row r="586" spans="15:49"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</row>
    <row r="587" spans="15:49"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</row>
    <row r="588" spans="15:49"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</row>
    <row r="589" spans="15:49"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</row>
    <row r="590" spans="15:49"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</row>
    <row r="591" spans="15:49"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</row>
    <row r="592" spans="15:49"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</row>
    <row r="593" spans="15:49"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</row>
    <row r="594" spans="15:49"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</row>
    <row r="595" spans="15:49"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</row>
    <row r="596" spans="15:49"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</row>
    <row r="597" spans="15:49"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</row>
    <row r="598" spans="15:49"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</row>
    <row r="599" spans="15:49"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</row>
    <row r="600" spans="15:49"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</row>
    <row r="601" spans="15:49"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</row>
    <row r="602" spans="15:49"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</row>
    <row r="603" spans="15:49"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</row>
    <row r="604" spans="15:49"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</row>
    <row r="605" spans="15:49"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</row>
    <row r="606" spans="15:49"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</row>
    <row r="607" spans="15:49"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</row>
    <row r="608" spans="15:49"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</row>
    <row r="609" spans="15:49"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</row>
    <row r="610" spans="15:49"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</row>
    <row r="611" spans="15:49"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</row>
    <row r="612" spans="15:49"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</row>
    <row r="613" spans="15:49"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</row>
    <row r="614" spans="15:49"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</row>
    <row r="615" spans="15:49"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</row>
    <row r="616" spans="15:49"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</row>
    <row r="617" spans="15:49"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</row>
    <row r="618" spans="15:49"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</row>
    <row r="619" spans="15:49"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</row>
    <row r="620" spans="15:49"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</row>
    <row r="621" spans="15:49"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</row>
    <row r="622" spans="15:49"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</row>
    <row r="623" spans="15:49"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</row>
    <row r="624" spans="15:49"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</row>
    <row r="625" spans="15:49"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</row>
    <row r="626" spans="15:49"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</row>
    <row r="627" spans="15:49"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</row>
    <row r="628" spans="15:49"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</row>
    <row r="629" spans="15:49"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</row>
    <row r="630" spans="15:49"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</row>
    <row r="631" spans="15:49"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</row>
    <row r="632" spans="15:49"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</row>
    <row r="633" spans="15:49"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</row>
    <row r="634" spans="15:49"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</row>
    <row r="635" spans="15:49"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</row>
    <row r="636" spans="15:49"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</row>
    <row r="637" spans="15:49"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</row>
    <row r="638" spans="15:49"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</row>
    <row r="639" spans="15:49"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</row>
    <row r="640" spans="15:49"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</row>
    <row r="641" spans="15:49"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</row>
    <row r="642" spans="15:49"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</row>
    <row r="643" spans="15:49"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</row>
    <row r="644" spans="15:49"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</row>
    <row r="645" spans="15:49"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</row>
    <row r="646" spans="15:49"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</row>
    <row r="647" spans="15:49"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</row>
    <row r="648" spans="15:49"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</row>
    <row r="649" spans="15:49"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</row>
    <row r="650" spans="15:49"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</row>
    <row r="651" spans="15:49"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</row>
    <row r="652" spans="15:49"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</row>
    <row r="653" spans="15:49"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</row>
    <row r="654" spans="15:49"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</row>
    <row r="655" spans="15:49"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</row>
    <row r="656" spans="15:49"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</row>
    <row r="657" spans="15:49"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</row>
    <row r="658" spans="15:49"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</row>
    <row r="659" spans="15:49"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</row>
    <row r="660" spans="15:49"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</row>
    <row r="661" spans="15:49"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</row>
    <row r="662" spans="15:49"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</row>
    <row r="663" spans="15:49"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</row>
    <row r="664" spans="15:49"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</row>
    <row r="665" spans="15:49"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</row>
    <row r="666" spans="15:49"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</row>
    <row r="667" spans="15:49"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</row>
    <row r="668" spans="15:49"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</row>
    <row r="669" spans="15:49"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</row>
    <row r="670" spans="15:49"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</row>
    <row r="671" spans="15:49"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</row>
    <row r="672" spans="15:49"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</row>
    <row r="673" spans="15:49"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</row>
    <row r="674" spans="15:49"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</row>
    <row r="675" spans="15:49"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</row>
    <row r="676" spans="15:49"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</row>
    <row r="677" spans="15:49"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</row>
    <row r="678" spans="15:49"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</row>
    <row r="679" spans="15:49"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</row>
    <row r="680" spans="15:49"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</row>
    <row r="681" spans="15:49"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</row>
    <row r="682" spans="15:49"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</row>
    <row r="683" spans="15:49"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</row>
    <row r="684" spans="15:49"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</row>
    <row r="685" spans="15:49"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</row>
    <row r="686" spans="15:49"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</row>
    <row r="687" spans="15:49"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</row>
    <row r="688" spans="15:49"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</row>
    <row r="689" spans="15:49"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</row>
    <row r="690" spans="15:49"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</row>
    <row r="691" spans="15:49"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</row>
    <row r="692" spans="15:49"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</row>
    <row r="693" spans="15:49"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</row>
    <row r="694" spans="15:49"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</row>
    <row r="695" spans="15:49"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</row>
    <row r="696" spans="15:49"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</row>
    <row r="697" spans="15:49"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</row>
    <row r="698" spans="15:49"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</row>
    <row r="699" spans="15:49"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</row>
    <row r="700" spans="15:49"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</row>
    <row r="701" spans="15:49"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</row>
    <row r="702" spans="15:49"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</row>
    <row r="703" spans="15:49"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</row>
    <row r="704" spans="15:49"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</row>
    <row r="705" spans="15:49"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</row>
    <row r="706" spans="15:49"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</row>
    <row r="707" spans="15:49"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</row>
    <row r="708" spans="15:49"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</row>
    <row r="709" spans="15:49"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</row>
    <row r="710" spans="15:49"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</row>
    <row r="711" spans="15:49"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</row>
    <row r="712" spans="15:49"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</row>
    <row r="713" spans="15:49"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</row>
    <row r="714" spans="15:49"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</row>
    <row r="715" spans="15:49"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</row>
    <row r="716" spans="15:49"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</row>
    <row r="717" spans="15:49"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</row>
    <row r="718" spans="15:49"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</row>
    <row r="719" spans="15:49"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</row>
    <row r="720" spans="15:49"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</row>
    <row r="721" spans="15:49"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</row>
    <row r="722" spans="15:49"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</row>
    <row r="723" spans="15:49"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</row>
    <row r="724" spans="15:49"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</row>
    <row r="725" spans="15:49"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</row>
    <row r="726" spans="15:49"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</row>
    <row r="727" spans="15:49"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</row>
    <row r="728" spans="15:49"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</row>
    <row r="729" spans="15:49"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</row>
    <row r="730" spans="15:49"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</row>
    <row r="731" spans="15:49"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</row>
    <row r="732" spans="15:49"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</row>
    <row r="733" spans="15:49"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</row>
    <row r="734" spans="15:49"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</row>
    <row r="735" spans="15:49"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</row>
    <row r="736" spans="15:49"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</row>
    <row r="737" spans="15:49"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</row>
    <row r="738" spans="15:49"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</row>
    <row r="739" spans="15:49"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</row>
    <row r="740" spans="15:49"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</row>
    <row r="741" spans="15:49"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</row>
    <row r="742" spans="15:49"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</row>
    <row r="743" spans="15:49"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</row>
    <row r="744" spans="15:49"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</row>
    <row r="745" spans="15:49"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</row>
    <row r="746" spans="15:49"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</row>
    <row r="747" spans="15:49"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</row>
    <row r="748" spans="15:49"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</row>
    <row r="749" spans="15:49"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</row>
    <row r="750" spans="15:49"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</row>
    <row r="751" spans="15:49"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</row>
    <row r="752" spans="15:49"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</row>
    <row r="753" spans="15:49"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</row>
    <row r="754" spans="15:49"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</row>
    <row r="755" spans="15:49"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</row>
    <row r="756" spans="15:49"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</row>
    <row r="757" spans="15:49"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</row>
    <row r="758" spans="15:49"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</row>
    <row r="759" spans="15:49"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</row>
    <row r="760" spans="15:49"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</row>
    <row r="761" spans="15:49"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</row>
    <row r="762" spans="15:49"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</row>
    <row r="763" spans="15:49"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</row>
    <row r="764" spans="15:49"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</row>
    <row r="765" spans="15:49"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</row>
    <row r="766" spans="15:49"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</row>
    <row r="767" spans="15:49"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</row>
    <row r="768" spans="15:49"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</row>
    <row r="769" spans="15:49"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</row>
    <row r="770" spans="15:49"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</row>
    <row r="771" spans="15:49"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</row>
    <row r="772" spans="15:49"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</row>
    <row r="773" spans="15:49"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</row>
    <row r="774" spans="15:49"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</row>
    <row r="775" spans="15:49"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</row>
    <row r="776" spans="15:49"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</row>
    <row r="777" spans="15:49"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</row>
    <row r="778" spans="15:49"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</row>
    <row r="779" spans="15:49"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</row>
    <row r="780" spans="15:49"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</row>
    <row r="781" spans="15:49"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</row>
    <row r="782" spans="15:49"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</row>
    <row r="783" spans="15:49"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</row>
    <row r="784" spans="15:49"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</row>
    <row r="785" spans="15:49"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</row>
    <row r="786" spans="15:49"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</row>
    <row r="787" spans="15:49"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</row>
    <row r="788" spans="15:49"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</row>
    <row r="789" spans="15:49"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</row>
    <row r="790" spans="15:49"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</row>
    <row r="791" spans="15:49"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</row>
    <row r="792" spans="15:49"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</row>
    <row r="793" spans="15:49"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</row>
    <row r="794" spans="15:49"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</row>
    <row r="795" spans="15:49"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</row>
    <row r="796" spans="15:49"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</row>
    <row r="797" spans="15:49"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</row>
    <row r="798" spans="15:49"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</row>
    <row r="799" spans="15:49"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</row>
    <row r="800" spans="15:49"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</row>
    <row r="801" spans="15:49"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</row>
    <row r="802" spans="15:49"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</row>
    <row r="803" spans="15:49"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</row>
    <row r="804" spans="15:49"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</row>
    <row r="805" spans="15:49"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</row>
    <row r="806" spans="15:49"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</row>
    <row r="807" spans="15:49"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</row>
    <row r="808" spans="15:49"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</row>
    <row r="809" spans="15:49"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</row>
    <row r="810" spans="15:49"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</row>
    <row r="811" spans="15:49"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</row>
    <row r="812" spans="15:49"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</row>
    <row r="813" spans="15:49"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</row>
    <row r="814" spans="15:49"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</row>
    <row r="815" spans="15:49"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</row>
    <row r="816" spans="15:49"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</row>
    <row r="817" spans="15:49"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</row>
    <row r="818" spans="15:49"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</row>
    <row r="819" spans="15:49"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</row>
    <row r="820" spans="15:49"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</row>
    <row r="821" spans="15:49"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</row>
    <row r="822" spans="15:49"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</row>
    <row r="823" spans="15:49"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</row>
    <row r="824" spans="15:49"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</row>
    <row r="825" spans="15:49"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</row>
    <row r="826" spans="15:49"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</row>
    <row r="827" spans="15:49"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</row>
    <row r="828" spans="15:49"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</row>
    <row r="829" spans="15:49"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</row>
    <row r="830" spans="15:49"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</row>
    <row r="831" spans="15:49"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</row>
    <row r="832" spans="15:49"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</row>
    <row r="833" spans="15:49"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</row>
    <row r="834" spans="15:49"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</row>
    <row r="835" spans="15:49"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</row>
    <row r="836" spans="15:49"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</row>
    <row r="837" spans="15:49"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</row>
    <row r="838" spans="15:49"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</row>
    <row r="839" spans="15:49"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</row>
    <row r="840" spans="15:49"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</row>
    <row r="841" spans="15:49"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</row>
    <row r="842" spans="15:49"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</row>
    <row r="843" spans="15:49"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</row>
    <row r="844" spans="15:49"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</row>
    <row r="845" spans="15:49"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</row>
    <row r="846" spans="15:49"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</row>
    <row r="847" spans="15:49"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</row>
    <row r="848" spans="15:49"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</row>
    <row r="849" spans="15:49"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</row>
    <row r="850" spans="15:49"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</row>
    <row r="851" spans="15:49"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</row>
    <row r="852" spans="15:49"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</row>
    <row r="853" spans="15:49"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</row>
    <row r="854" spans="15:49"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</row>
  </sheetData>
  <mergeCells count="53">
    <mergeCell ref="J8:J9"/>
    <mergeCell ref="K8:K9"/>
    <mergeCell ref="L8:L9"/>
    <mergeCell ref="D1:J1"/>
    <mergeCell ref="G2:K2"/>
    <mergeCell ref="D3:J3"/>
    <mergeCell ref="H5:J5"/>
    <mergeCell ref="H6:J6"/>
    <mergeCell ref="K6:L6"/>
    <mergeCell ref="K14:L14"/>
    <mergeCell ref="C16:D16"/>
    <mergeCell ref="H16:J16"/>
    <mergeCell ref="K16:N16"/>
    <mergeCell ref="H7:J7"/>
    <mergeCell ref="K7:L7"/>
    <mergeCell ref="M7:N7"/>
    <mergeCell ref="C8:C9"/>
    <mergeCell ref="D8:D9"/>
    <mergeCell ref="E8:E9"/>
    <mergeCell ref="F8:F9"/>
    <mergeCell ref="M8:M9"/>
    <mergeCell ref="N8:N9"/>
    <mergeCell ref="G8:G9"/>
    <mergeCell ref="H8:H9"/>
    <mergeCell ref="I8:I9"/>
    <mergeCell ref="A7:A9"/>
    <mergeCell ref="B7:B9"/>
    <mergeCell ref="C7:G7"/>
    <mergeCell ref="C22:D22"/>
    <mergeCell ref="E22:G22"/>
    <mergeCell ref="A14:D14"/>
    <mergeCell ref="H22:J22"/>
    <mergeCell ref="K22:N22"/>
    <mergeCell ref="C17:D17"/>
    <mergeCell ref="H17:I17"/>
    <mergeCell ref="K17:N17"/>
    <mergeCell ref="C18:D18"/>
    <mergeCell ref="E18:G18"/>
    <mergeCell ref="C19:D19"/>
    <mergeCell ref="E19:G19"/>
    <mergeCell ref="C20:D20"/>
    <mergeCell ref="E20:G20"/>
    <mergeCell ref="C21:D21"/>
    <mergeCell ref="E21:G21"/>
    <mergeCell ref="M21:N21"/>
    <mergeCell ref="E23:F23"/>
    <mergeCell ref="H23:I23"/>
    <mergeCell ref="M23:N23"/>
    <mergeCell ref="K24:N24"/>
    <mergeCell ref="E25:F25"/>
    <mergeCell ref="H25:I25"/>
    <mergeCell ref="K25:L25"/>
    <mergeCell ref="M25:N25"/>
  </mergeCells>
  <pageMargins left="0.51180555555555496" right="0.51180555555555496" top="0.78749999999999998" bottom="0.78749999999999998" header="0.51180555555555496" footer="0.51180555555555496"/>
  <pageSetup paperSize="9" scale="4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2981-E892-4F88-A1D9-E22A578A87A6}">
  <sheetPr>
    <pageSetUpPr fitToPage="1"/>
  </sheetPr>
  <dimension ref="A1:AW857"/>
  <sheetViews>
    <sheetView zoomScale="55" zoomScaleNormal="55" workbookViewId="0">
      <selection activeCell="E21" sqref="E21:G21"/>
    </sheetView>
  </sheetViews>
  <sheetFormatPr defaultColWidth="9.140625" defaultRowHeight="15"/>
  <cols>
    <col min="1" max="1" width="8.7109375" customWidth="1"/>
    <col min="2" max="2" width="60.7109375" customWidth="1"/>
    <col min="3" max="3" width="7.7109375" customWidth="1"/>
    <col min="4" max="4" width="12.7109375" customWidth="1"/>
    <col min="5" max="5" width="16.5703125" customWidth="1"/>
    <col min="6" max="6" width="15.7109375" customWidth="1"/>
    <col min="7" max="7" width="25" customWidth="1"/>
    <col min="8" max="8" width="17.28515625" customWidth="1"/>
    <col min="9" max="9" width="18.7109375" customWidth="1"/>
    <col min="10" max="10" width="20.140625" customWidth="1"/>
    <col min="11" max="11" width="12.5703125" customWidth="1"/>
    <col min="12" max="12" width="24.28515625" customWidth="1"/>
    <col min="13" max="13" width="19.28515625" customWidth="1"/>
    <col min="14" max="14" width="12.7109375" customWidth="1"/>
  </cols>
  <sheetData>
    <row r="1" spans="1:49" s="6" customFormat="1" ht="21.95" customHeight="1">
      <c r="A1" s="1"/>
      <c r="B1" s="2"/>
      <c r="C1" s="2"/>
      <c r="D1" s="189" t="s">
        <v>0</v>
      </c>
      <c r="E1" s="189"/>
      <c r="F1" s="189"/>
      <c r="G1" s="189"/>
      <c r="H1" s="189"/>
      <c r="I1" s="189"/>
      <c r="J1" s="189"/>
      <c r="K1" s="3"/>
      <c r="L1" s="3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s="6" customFormat="1" ht="21.95" customHeight="1">
      <c r="A2" s="7"/>
      <c r="B2" s="8"/>
      <c r="C2" s="8"/>
      <c r="D2" s="136" t="s">
        <v>1</v>
      </c>
      <c r="E2" s="136"/>
      <c r="F2" s="136"/>
      <c r="G2" s="190" t="s">
        <v>2</v>
      </c>
      <c r="H2" s="190"/>
      <c r="I2" s="190"/>
      <c r="J2" s="190"/>
      <c r="K2" s="190"/>
      <c r="L2" s="9"/>
      <c r="M2" s="9"/>
      <c r="N2" s="10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s="6" customFormat="1" ht="21.95" customHeight="1">
      <c r="A3" s="7"/>
      <c r="B3" s="8"/>
      <c r="C3" s="8"/>
      <c r="D3" s="191" t="s">
        <v>3</v>
      </c>
      <c r="E3" s="191"/>
      <c r="F3" s="191"/>
      <c r="G3" s="191"/>
      <c r="H3" s="191"/>
      <c r="I3" s="191"/>
      <c r="J3" s="191"/>
      <c r="K3" s="9"/>
      <c r="L3" s="9"/>
      <c r="M3" s="9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6" customFormat="1" ht="21.95" customHeight="1">
      <c r="A4" s="7"/>
      <c r="B4" s="8"/>
      <c r="C4" s="8"/>
      <c r="D4" s="8"/>
      <c r="E4" s="8"/>
      <c r="F4" s="8"/>
      <c r="G4" s="8"/>
      <c r="H4" s="11"/>
      <c r="I4" s="8"/>
      <c r="J4" s="8"/>
      <c r="K4" s="8"/>
      <c r="L4" s="8"/>
      <c r="M4" s="8"/>
      <c r="N4" s="10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21.95" customHeight="1">
      <c r="A5" s="12"/>
      <c r="B5" s="13" t="str">
        <f>G2</f>
        <v>ELEVARE ENGENHARIA E CONSTRUÇÕES LTDA</v>
      </c>
      <c r="C5" s="14"/>
      <c r="D5" s="14"/>
      <c r="E5" s="15"/>
      <c r="F5" s="15"/>
      <c r="G5" s="14"/>
      <c r="H5" s="192" t="s">
        <v>4</v>
      </c>
      <c r="I5" s="192"/>
      <c r="J5" s="192"/>
      <c r="K5" s="16" t="s">
        <v>5</v>
      </c>
      <c r="L5" s="14"/>
      <c r="M5" s="17"/>
      <c r="N5" s="18">
        <v>4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</row>
    <row r="6" spans="1:49" ht="21.95" customHeight="1">
      <c r="A6" s="20"/>
      <c r="B6" s="21" t="str">
        <f>D1</f>
        <v>OBRA: FKR-018 - RIL</v>
      </c>
      <c r="C6" s="22"/>
      <c r="D6" s="22"/>
      <c r="E6" s="23"/>
      <c r="F6" s="23"/>
      <c r="G6" s="22"/>
      <c r="H6" s="193" t="s">
        <v>51</v>
      </c>
      <c r="I6" s="193"/>
      <c r="J6" s="193"/>
      <c r="K6" s="194" t="s">
        <v>7</v>
      </c>
      <c r="L6" s="194"/>
      <c r="M6" s="24"/>
      <c r="N6" s="110" t="s">
        <v>52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</row>
    <row r="7" spans="1:49" ht="15.75" customHeight="1">
      <c r="A7" s="214" t="s">
        <v>9</v>
      </c>
      <c r="B7" s="203" t="s">
        <v>10</v>
      </c>
      <c r="C7" s="215" t="s">
        <v>11</v>
      </c>
      <c r="D7" s="215"/>
      <c r="E7" s="215"/>
      <c r="F7" s="215"/>
      <c r="G7" s="215"/>
      <c r="H7" s="200" t="s">
        <v>12</v>
      </c>
      <c r="I7" s="200"/>
      <c r="J7" s="200"/>
      <c r="K7" s="201" t="s">
        <v>13</v>
      </c>
      <c r="L7" s="201"/>
      <c r="M7" s="202" t="s">
        <v>14</v>
      </c>
      <c r="N7" s="203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</row>
    <row r="8" spans="1:49" ht="15" customHeight="1">
      <c r="A8" s="214"/>
      <c r="B8" s="203"/>
      <c r="C8" s="204" t="s">
        <v>15</v>
      </c>
      <c r="D8" s="205" t="s">
        <v>16</v>
      </c>
      <c r="E8" s="206" t="s">
        <v>21</v>
      </c>
      <c r="F8" s="208" t="s">
        <v>22</v>
      </c>
      <c r="G8" s="210" t="s">
        <v>17</v>
      </c>
      <c r="H8" s="211" t="s">
        <v>16</v>
      </c>
      <c r="I8" s="212" t="s">
        <v>21</v>
      </c>
      <c r="J8" s="187" t="s">
        <v>18</v>
      </c>
      <c r="K8" s="188" t="s">
        <v>16</v>
      </c>
      <c r="L8" s="187" t="s">
        <v>19</v>
      </c>
      <c r="M8" s="202" t="s">
        <v>20</v>
      </c>
      <c r="N8" s="203" t="s">
        <v>15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</row>
    <row r="9" spans="1:49">
      <c r="A9" s="214"/>
      <c r="B9" s="203"/>
      <c r="C9" s="204"/>
      <c r="D9" s="205"/>
      <c r="E9" s="207"/>
      <c r="F9" s="209"/>
      <c r="G9" s="210"/>
      <c r="H9" s="210"/>
      <c r="I9" s="213"/>
      <c r="J9" s="187"/>
      <c r="K9" s="188"/>
      <c r="L9" s="187"/>
      <c r="M9" s="202"/>
      <c r="N9" s="203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1:49" ht="18.75">
      <c r="A10" s="30">
        <v>1</v>
      </c>
      <c r="B10" s="31" t="s">
        <v>23</v>
      </c>
      <c r="C10" s="117" t="s">
        <v>24</v>
      </c>
      <c r="D10" s="32">
        <v>1</v>
      </c>
      <c r="E10" s="33">
        <v>323.73</v>
      </c>
      <c r="F10" s="118"/>
      <c r="G10" s="34">
        <f>E10</f>
        <v>323.73</v>
      </c>
      <c r="H10" s="35">
        <f>Auxiliar!F65</f>
        <v>50</v>
      </c>
      <c r="I10" s="119">
        <f>+E10</f>
        <v>323.73</v>
      </c>
      <c r="J10" s="36">
        <f>+I10*H10</f>
        <v>16186.5</v>
      </c>
      <c r="K10" s="175">
        <f>+H10+'MED 03'!K10</f>
        <v>113</v>
      </c>
      <c r="L10" s="38">
        <f>+K10*I10</f>
        <v>36581.490000000005</v>
      </c>
      <c r="M10" s="39"/>
      <c r="N10" s="40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</row>
    <row r="11" spans="1:49" ht="18.75">
      <c r="A11" s="30">
        <v>2</v>
      </c>
      <c r="B11" s="31" t="s">
        <v>25</v>
      </c>
      <c r="C11" s="120" t="s">
        <v>24</v>
      </c>
      <c r="D11" s="32">
        <v>1</v>
      </c>
      <c r="E11" s="33">
        <v>443.63</v>
      </c>
      <c r="F11" s="44"/>
      <c r="G11" s="34">
        <f>E11</f>
        <v>443.63</v>
      </c>
      <c r="H11" s="35">
        <f>Auxiliar!E65</f>
        <v>20</v>
      </c>
      <c r="I11" s="121">
        <f>+E11</f>
        <v>443.63</v>
      </c>
      <c r="J11" s="36">
        <f>+I11*H11</f>
        <v>8872.6</v>
      </c>
      <c r="K11" s="175">
        <f>+H11+'MED 03'!K11</f>
        <v>31</v>
      </c>
      <c r="L11" s="38">
        <f>+K11*I11</f>
        <v>13752.53</v>
      </c>
      <c r="M11" s="39"/>
      <c r="N11" s="40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</row>
    <row r="12" spans="1:49" ht="18.75">
      <c r="A12" s="30">
        <v>3</v>
      </c>
      <c r="B12" s="31" t="s">
        <v>26</v>
      </c>
      <c r="C12" s="120" t="s">
        <v>24</v>
      </c>
      <c r="D12" s="32">
        <v>1</v>
      </c>
      <c r="E12" s="33">
        <v>477.42</v>
      </c>
      <c r="F12" s="44"/>
      <c r="G12" s="34">
        <f>E12</f>
        <v>477.42</v>
      </c>
      <c r="H12" s="35">
        <f>Auxiliar!C65</f>
        <v>18</v>
      </c>
      <c r="I12" s="121">
        <f>+E12</f>
        <v>477.42</v>
      </c>
      <c r="J12" s="36">
        <f>+I12*H12</f>
        <v>8593.56</v>
      </c>
      <c r="K12" s="175">
        <f>+H12+'MED 03'!K12</f>
        <v>33</v>
      </c>
      <c r="L12" s="38">
        <f>+K12*I12</f>
        <v>15754.86</v>
      </c>
      <c r="M12" s="39"/>
      <c r="N12" s="40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</row>
    <row r="13" spans="1:49" ht="18.75">
      <c r="A13" s="30">
        <v>4</v>
      </c>
      <c r="B13" s="31" t="s">
        <v>53</v>
      </c>
      <c r="C13" s="120" t="s">
        <v>54</v>
      </c>
      <c r="D13" s="32">
        <v>1</v>
      </c>
      <c r="E13" s="33">
        <v>39.93</v>
      </c>
      <c r="F13" s="44"/>
      <c r="G13" s="34">
        <f t="shared" ref="G13:G16" si="0">E13</f>
        <v>39.93</v>
      </c>
      <c r="H13" s="157">
        <f>Auxiliar!M55</f>
        <v>108.54320000000001</v>
      </c>
      <c r="I13" s="121">
        <f t="shared" ref="I13:I16" si="1">+E13</f>
        <v>39.93</v>
      </c>
      <c r="J13" s="36">
        <f t="shared" ref="J13:J16" si="2">+I13*H13</f>
        <v>4334.1299760000002</v>
      </c>
      <c r="K13" s="175">
        <f t="shared" ref="K13:K16" si="3">+H13</f>
        <v>108.54320000000001</v>
      </c>
      <c r="L13" s="38">
        <f t="shared" ref="L13:L16" si="4">+J13</f>
        <v>4334.1299760000002</v>
      </c>
      <c r="M13" s="39"/>
      <c r="N13" s="40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</row>
    <row r="14" spans="1:49" ht="24.95" customHeight="1">
      <c r="A14" s="30">
        <v>5</v>
      </c>
      <c r="B14" s="31" t="s">
        <v>55</v>
      </c>
      <c r="C14" s="120" t="s">
        <v>54</v>
      </c>
      <c r="D14" s="32">
        <v>1</v>
      </c>
      <c r="E14" s="33">
        <v>45.98</v>
      </c>
      <c r="F14" s="44"/>
      <c r="G14" s="34">
        <f t="shared" si="0"/>
        <v>45.98</v>
      </c>
      <c r="H14" s="157">
        <f>Auxiliar!M56</f>
        <v>11.419499999999999</v>
      </c>
      <c r="I14" s="121">
        <f t="shared" si="1"/>
        <v>45.98</v>
      </c>
      <c r="J14" s="36">
        <f t="shared" si="2"/>
        <v>525.06860999999992</v>
      </c>
      <c r="K14" s="175">
        <f>+H14</f>
        <v>11.419499999999999</v>
      </c>
      <c r="L14" s="38">
        <f t="shared" si="4"/>
        <v>525.06860999999992</v>
      </c>
      <c r="M14" s="39"/>
      <c r="N14" s="40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ht="24.95" customHeight="1">
      <c r="A15" s="30">
        <v>6</v>
      </c>
      <c r="B15" s="31" t="s">
        <v>56</v>
      </c>
      <c r="C15" s="120" t="s">
        <v>54</v>
      </c>
      <c r="D15" s="32">
        <v>1</v>
      </c>
      <c r="E15" s="33">
        <v>12.1</v>
      </c>
      <c r="F15" s="44"/>
      <c r="G15" s="34">
        <f t="shared" si="0"/>
        <v>12.1</v>
      </c>
      <c r="H15" s="157">
        <f>Auxiliar!M57</f>
        <v>18.028500000000001</v>
      </c>
      <c r="I15" s="121">
        <f t="shared" si="1"/>
        <v>12.1</v>
      </c>
      <c r="J15" s="36">
        <f t="shared" si="2"/>
        <v>218.14485000000002</v>
      </c>
      <c r="K15" s="175">
        <f t="shared" si="3"/>
        <v>18.028500000000001</v>
      </c>
      <c r="L15" s="38">
        <f t="shared" si="4"/>
        <v>218.14485000000002</v>
      </c>
      <c r="M15" s="39"/>
      <c r="N15" s="40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 ht="24.95" customHeight="1">
      <c r="A16" s="30">
        <v>7</v>
      </c>
      <c r="B16" s="31" t="s">
        <v>57</v>
      </c>
      <c r="C16" s="120" t="s">
        <v>54</v>
      </c>
      <c r="D16" s="32">
        <v>1</v>
      </c>
      <c r="E16" s="33">
        <v>14.52</v>
      </c>
      <c r="F16" s="44"/>
      <c r="G16" s="34">
        <f t="shared" si="0"/>
        <v>14.52</v>
      </c>
      <c r="H16" s="157">
        <f>Auxiliar!M58</f>
        <v>119.48570000000001</v>
      </c>
      <c r="I16" s="121">
        <f t="shared" si="1"/>
        <v>14.52</v>
      </c>
      <c r="J16" s="36">
        <f t="shared" si="2"/>
        <v>1734.932364</v>
      </c>
      <c r="K16" s="175">
        <f t="shared" si="3"/>
        <v>119.48570000000001</v>
      </c>
      <c r="L16" s="38">
        <f t="shared" si="4"/>
        <v>1734.932364</v>
      </c>
      <c r="M16" s="39"/>
      <c r="N16" s="40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</row>
    <row r="17" spans="1:49" ht="24.95" customHeight="1">
      <c r="A17" s="218"/>
      <c r="B17" s="218"/>
      <c r="C17" s="218"/>
      <c r="D17" s="218"/>
      <c r="E17" s="55"/>
      <c r="F17" s="56"/>
      <c r="G17" s="57">
        <f>SUM(G10:G16)</f>
        <v>1357.31</v>
      </c>
      <c r="H17" s="58"/>
      <c r="I17" s="59"/>
      <c r="J17" s="60">
        <f>SUM(J10:J16)</f>
        <v>40464.935799999999</v>
      </c>
      <c r="K17" s="195" t="s">
        <v>27</v>
      </c>
      <c r="L17" s="196"/>
      <c r="M17" s="61">
        <f>+SUM(L10:L16)</f>
        <v>72901.155799999993</v>
      </c>
      <c r="N17" s="62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</row>
    <row r="18" spans="1:49" ht="24.95" customHeight="1">
      <c r="A18" s="63"/>
      <c r="B18" s="64"/>
      <c r="C18" s="64"/>
      <c r="D18" s="64"/>
      <c r="E18" s="65"/>
      <c r="F18" s="65"/>
      <c r="G18" s="65"/>
      <c r="H18" s="66"/>
      <c r="I18" s="65"/>
      <c r="J18" s="65"/>
      <c r="K18" s="65"/>
      <c r="L18" s="64"/>
      <c r="M18" s="65"/>
      <c r="N18" s="67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 ht="30" customHeight="1">
      <c r="A19" s="115"/>
      <c r="B19" s="115" t="s">
        <v>28</v>
      </c>
      <c r="C19" s="197"/>
      <c r="D19" s="197"/>
      <c r="E19" s="68"/>
      <c r="F19" s="68"/>
      <c r="G19" s="69">
        <f>J17</f>
        <v>40464.935799999999</v>
      </c>
      <c r="H19" s="198" t="s">
        <v>29</v>
      </c>
      <c r="I19" s="198"/>
      <c r="J19" s="198"/>
      <c r="K19" s="199" t="s">
        <v>30</v>
      </c>
      <c r="L19" s="199"/>
      <c r="M19" s="199"/>
      <c r="N19" s="19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 ht="30" customHeight="1">
      <c r="A20" s="70" t="s">
        <v>9</v>
      </c>
      <c r="B20" s="116" t="s">
        <v>31</v>
      </c>
      <c r="C20" s="223" t="s">
        <v>32</v>
      </c>
      <c r="D20" s="223"/>
      <c r="E20" s="71"/>
      <c r="F20" s="71"/>
      <c r="G20" s="72" t="s">
        <v>33</v>
      </c>
      <c r="H20" s="224" t="s">
        <v>34</v>
      </c>
      <c r="I20" s="224"/>
      <c r="J20" s="73">
        <f>+J26+'MED 03'!J17</f>
        <v>7152.4392899999993</v>
      </c>
      <c r="K20" s="225"/>
      <c r="L20" s="225"/>
      <c r="M20" s="225"/>
      <c r="N20" s="225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</row>
    <row r="21" spans="1:49">
      <c r="A21" s="112">
        <v>1</v>
      </c>
      <c r="B21" s="74" t="s">
        <v>58</v>
      </c>
      <c r="C21" s="226">
        <v>8</v>
      </c>
      <c r="D21" s="226"/>
      <c r="E21" s="227">
        <f>28.14*C21</f>
        <v>225.12</v>
      </c>
      <c r="F21" s="227"/>
      <c r="G21" s="227"/>
      <c r="H21" s="75"/>
      <c r="I21" s="76"/>
      <c r="J21" s="122"/>
      <c r="K21" s="77"/>
      <c r="L21" s="78"/>
      <c r="M21" s="79"/>
      <c r="N21" s="80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>
      <c r="A22" s="89">
        <v>2</v>
      </c>
      <c r="B22" s="113" t="s">
        <v>59</v>
      </c>
      <c r="C22" s="228"/>
      <c r="D22" s="228"/>
      <c r="E22" s="229">
        <f>62*C22</f>
        <v>0</v>
      </c>
      <c r="F22" s="229"/>
      <c r="G22" s="229"/>
      <c r="H22" s="81"/>
      <c r="I22" s="82"/>
      <c r="J22" s="82"/>
      <c r="K22" s="83"/>
      <c r="L22" s="84"/>
      <c r="M22" s="85"/>
      <c r="N22" s="86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</row>
    <row r="23" spans="1:49" ht="15" customHeight="1">
      <c r="A23" s="89">
        <v>3</v>
      </c>
      <c r="B23" s="74" t="s">
        <v>60</v>
      </c>
      <c r="C23" s="226">
        <v>4</v>
      </c>
      <c r="D23" s="226"/>
      <c r="E23" s="229">
        <f>6.5*C23</f>
        <v>26</v>
      </c>
      <c r="F23" s="229"/>
      <c r="G23" s="229"/>
      <c r="H23" s="81"/>
      <c r="I23" s="82"/>
      <c r="J23" s="82"/>
      <c r="K23" s="83"/>
      <c r="L23" s="84"/>
      <c r="M23" s="85"/>
      <c r="N23" s="86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</row>
    <row r="24" spans="1:49">
      <c r="A24" s="89">
        <v>4</v>
      </c>
      <c r="B24" s="74" t="s">
        <v>61</v>
      </c>
      <c r="C24" s="226"/>
      <c r="D24" s="226"/>
      <c r="E24" s="229">
        <f>23*C24</f>
        <v>0</v>
      </c>
      <c r="F24" s="229"/>
      <c r="G24" s="229"/>
      <c r="H24" s="81"/>
      <c r="I24" s="82"/>
      <c r="J24" s="82"/>
      <c r="K24" s="87"/>
      <c r="L24" s="88"/>
      <c r="M24" s="227"/>
      <c r="N24" s="227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</row>
    <row r="25" spans="1:49">
      <c r="A25" s="90">
        <v>5</v>
      </c>
      <c r="B25" s="91"/>
      <c r="C25" s="216"/>
      <c r="D25" s="216"/>
      <c r="E25" s="217"/>
      <c r="F25" s="217"/>
      <c r="G25" s="217"/>
      <c r="H25" s="219"/>
      <c r="I25" s="219"/>
      <c r="J25" s="220"/>
      <c r="K25" s="221"/>
      <c r="L25" s="221"/>
      <c r="M25" s="221"/>
      <c r="N25" s="222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</row>
    <row r="26" spans="1:49" ht="24.95" customHeight="1">
      <c r="A26" s="92"/>
      <c r="B26" s="93"/>
      <c r="C26" s="94"/>
      <c r="D26" s="95"/>
      <c r="E26" s="230" t="s">
        <v>35</v>
      </c>
      <c r="F26" s="230"/>
      <c r="G26" s="96">
        <f>+SUM(E21:G25)</f>
        <v>251.12</v>
      </c>
      <c r="H26" s="231" t="s">
        <v>36</v>
      </c>
      <c r="I26" s="231"/>
      <c r="J26" s="97">
        <f>G28*0.05</f>
        <v>2010.6907899999999</v>
      </c>
      <c r="K26" s="124" t="s">
        <v>37</v>
      </c>
      <c r="L26" s="95"/>
      <c r="M26" s="232">
        <f>M24</f>
        <v>0</v>
      </c>
      <c r="N26" s="232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</row>
    <row r="27" spans="1:49" ht="24.95" customHeight="1">
      <c r="A27" s="98"/>
      <c r="B27" s="99"/>
      <c r="C27" s="100"/>
      <c r="D27" s="101"/>
      <c r="E27" s="102"/>
      <c r="F27" s="103"/>
      <c r="G27" s="104"/>
      <c r="H27" s="105"/>
      <c r="I27" s="106"/>
      <c r="J27" s="106"/>
      <c r="K27" s="233"/>
      <c r="L27" s="233"/>
      <c r="M27" s="233"/>
      <c r="N27" s="233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</row>
    <row r="28" spans="1:49" ht="24.95" customHeight="1">
      <c r="A28" s="114"/>
      <c r="B28" s="107" t="s">
        <v>38</v>
      </c>
      <c r="C28" s="108"/>
      <c r="D28" s="68"/>
      <c r="E28" s="234" t="s">
        <v>39</v>
      </c>
      <c r="F28" s="234"/>
      <c r="G28" s="109">
        <f>G19-G26</f>
        <v>40213.815799999997</v>
      </c>
      <c r="H28" s="235" t="s">
        <v>40</v>
      </c>
      <c r="I28" s="235"/>
      <c r="J28" s="123">
        <f>G28-J26</f>
        <v>38203.125009999996</v>
      </c>
      <c r="K28" s="236" t="s">
        <v>41</v>
      </c>
      <c r="L28" s="236"/>
      <c r="M28" s="237">
        <f>+J28-M26</f>
        <v>38203.125009999996</v>
      </c>
      <c r="N28" s="237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</row>
    <row r="29" spans="1:49" ht="60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>
        <v>30466.5</v>
      </c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</row>
    <row r="30" spans="1:49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</row>
    <row r="31" spans="1:49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</row>
    <row r="32" spans="1:49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</row>
    <row r="33" spans="1:49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</row>
    <row r="34" spans="1:49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</row>
    <row r="35" spans="1:49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</row>
    <row r="36" spans="1:49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</row>
    <row r="37" spans="1:49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</row>
    <row r="38" spans="1:49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</row>
    <row r="39" spans="1:4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</row>
    <row r="40" spans="1:49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</row>
    <row r="41" spans="1:49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</row>
    <row r="42" spans="1:49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1:49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</row>
    <row r="44" spans="1:49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</row>
    <row r="45" spans="1:49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</row>
    <row r="46" spans="1:49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</row>
    <row r="47" spans="1:49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</row>
    <row r="48" spans="1:49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</row>
    <row r="49" spans="1: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</row>
    <row r="50" spans="1:49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</row>
    <row r="51" spans="1:49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</row>
    <row r="52" spans="1:49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</row>
    <row r="53" spans="1:49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</row>
    <row r="54" spans="1:49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</row>
    <row r="55" spans="1:49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</row>
    <row r="56" spans="1:49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</row>
    <row r="57" spans="1:49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</row>
    <row r="58" spans="1:49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</row>
    <row r="59" spans="1:4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</row>
    <row r="60" spans="1:49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</row>
    <row r="61" spans="1:49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</row>
    <row r="62" spans="1:49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</row>
    <row r="63" spans="1:49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</row>
    <row r="64" spans="1:49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</row>
    <row r="65" spans="1:49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</row>
    <row r="66" spans="1:49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</row>
    <row r="67" spans="1:49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</row>
    <row r="68" spans="1:49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</row>
    <row r="69" spans="1:4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</row>
    <row r="70" spans="1:49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</row>
    <row r="71" spans="1:49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</row>
    <row r="72" spans="1:49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</row>
    <row r="73" spans="1:49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</row>
    <row r="74" spans="1:49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</row>
    <row r="75" spans="1:49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</row>
    <row r="76" spans="1:49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</row>
    <row r="77" spans="1:49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</row>
    <row r="78" spans="1:49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</row>
    <row r="79" spans="1:4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</row>
    <row r="80" spans="1:49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</row>
    <row r="81" spans="1:49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</row>
    <row r="82" spans="1:49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</row>
    <row r="83" spans="1:49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</row>
    <row r="84" spans="1:49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</row>
    <row r="85" spans="1:49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</row>
    <row r="86" spans="1:49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</row>
    <row r="87" spans="1:49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</row>
    <row r="88" spans="1:49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</row>
    <row r="89" spans="1:4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</row>
    <row r="90" spans="1:49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</row>
    <row r="91" spans="1:49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</row>
    <row r="92" spans="1:49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</row>
    <row r="93" spans="1:49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</row>
    <row r="94" spans="1:49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</row>
    <row r="95" spans="1:49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</row>
    <row r="96" spans="1:49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</row>
    <row r="97" spans="1:49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</row>
    <row r="98" spans="1:49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</row>
    <row r="99" spans="1:4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</row>
    <row r="100" spans="1:49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</row>
    <row r="101" spans="1:49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</row>
    <row r="102" spans="1:49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</row>
    <row r="103" spans="1:49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</row>
    <row r="104" spans="1:49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</row>
    <row r="105" spans="1:49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</row>
    <row r="106" spans="1:49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</row>
    <row r="107" spans="1:49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</row>
    <row r="108" spans="1:49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</row>
    <row r="109" spans="1:4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</row>
    <row r="110" spans="1:49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</row>
    <row r="111" spans="1:49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</row>
    <row r="112" spans="1:49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</row>
    <row r="113" spans="1:49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</row>
    <row r="114" spans="1:49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</row>
    <row r="115" spans="1:49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</row>
    <row r="116" spans="1:49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</row>
    <row r="117" spans="1:49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</row>
    <row r="118" spans="1:49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</row>
    <row r="119" spans="1:4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</row>
    <row r="120" spans="1:49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</row>
    <row r="121" spans="1:49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</row>
    <row r="122" spans="1:49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</row>
    <row r="123" spans="1:49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</row>
    <row r="124" spans="1:49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</row>
    <row r="125" spans="1:49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</row>
    <row r="126" spans="1:49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</row>
    <row r="127" spans="1:49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</row>
    <row r="128" spans="1:49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</row>
    <row r="129" spans="1:4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</row>
    <row r="130" spans="1:49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</row>
    <row r="131" spans="1:49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</row>
    <row r="132" spans="1:49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</row>
    <row r="133" spans="1:49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</row>
    <row r="134" spans="1:49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</row>
    <row r="135" spans="1:4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</row>
    <row r="136" spans="1:4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</row>
    <row r="137" spans="1:49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</row>
    <row r="138" spans="1:49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</row>
    <row r="139" spans="1:4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</row>
    <row r="140" spans="1:49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</row>
    <row r="141" spans="1:49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</row>
    <row r="142" spans="1:49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</row>
    <row r="143" spans="1:49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</row>
    <row r="144" spans="1:49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</row>
    <row r="145" spans="1:49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</row>
    <row r="146" spans="1:49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</row>
    <row r="147" spans="1:49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</row>
    <row r="148" spans="1:49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</row>
    <row r="149" spans="1: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</row>
    <row r="150" spans="1:49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</row>
    <row r="151" spans="1:49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</row>
    <row r="152" spans="1:49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</row>
    <row r="153" spans="1:49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</row>
    <row r="154" spans="1:49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</row>
    <row r="155" spans="1:49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</row>
    <row r="156" spans="1:49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</row>
    <row r="157" spans="1:49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</row>
    <row r="158" spans="1:49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</row>
    <row r="159" spans="1:4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</row>
    <row r="160" spans="1:49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</row>
    <row r="161" spans="1:49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</row>
    <row r="162" spans="1:49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</row>
    <row r="163" spans="1:49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</row>
    <row r="164" spans="1:49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</row>
    <row r="165" spans="1:49"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</row>
    <row r="166" spans="1:49"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</row>
    <row r="167" spans="1:49"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</row>
    <row r="168" spans="1:49"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</row>
    <row r="169" spans="1:49"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</row>
    <row r="170" spans="1:49"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</row>
    <row r="171" spans="1:49"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</row>
    <row r="172" spans="1:49"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</row>
    <row r="173" spans="1:49"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</row>
    <row r="174" spans="1:49"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</row>
    <row r="175" spans="1:49"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</row>
    <row r="176" spans="1:49"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</row>
    <row r="177" spans="15:49"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</row>
    <row r="178" spans="15:49"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</row>
    <row r="179" spans="15:49"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</row>
    <row r="180" spans="15:49"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</row>
    <row r="181" spans="15:49"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</row>
    <row r="182" spans="15:49"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</row>
    <row r="183" spans="15:49"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</row>
    <row r="184" spans="15:49"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</row>
    <row r="185" spans="15:49"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</row>
    <row r="186" spans="15:49"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</row>
    <row r="187" spans="15:49"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</row>
    <row r="188" spans="15:49"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</row>
    <row r="189" spans="15:49"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</row>
    <row r="190" spans="15:49"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</row>
    <row r="191" spans="15:49"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</row>
    <row r="192" spans="15:49"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</row>
    <row r="193" spans="15:49"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</row>
    <row r="194" spans="15:49"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</row>
    <row r="195" spans="15:49"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</row>
    <row r="196" spans="15:49"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</row>
    <row r="197" spans="15:49"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</row>
    <row r="198" spans="15:49"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</row>
    <row r="199" spans="15:49"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</row>
    <row r="200" spans="15:49"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</row>
    <row r="201" spans="15:49"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</row>
    <row r="202" spans="15:49"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</row>
    <row r="203" spans="15:49"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</row>
    <row r="204" spans="15:49"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</row>
    <row r="205" spans="15:49"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</row>
    <row r="206" spans="15:49"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</row>
    <row r="207" spans="15:49"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</row>
    <row r="208" spans="15:49"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</row>
    <row r="209" spans="15:49"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</row>
    <row r="210" spans="15:49"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</row>
    <row r="211" spans="15:49"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</row>
    <row r="212" spans="15:49"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</row>
    <row r="213" spans="15:49"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</row>
    <row r="214" spans="15:49"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</row>
    <row r="215" spans="15:49"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</row>
    <row r="216" spans="15:49"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</row>
    <row r="217" spans="15:49"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</row>
    <row r="218" spans="15:49"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</row>
    <row r="219" spans="15:49"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</row>
    <row r="220" spans="15:49"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</row>
    <row r="221" spans="15:49"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</row>
    <row r="222" spans="15:49"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</row>
    <row r="223" spans="15:49"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</row>
    <row r="224" spans="15:49"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</row>
    <row r="225" spans="15:49"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</row>
    <row r="226" spans="15:49"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</row>
    <row r="227" spans="15:49"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</row>
    <row r="228" spans="15:49"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</row>
    <row r="229" spans="15:49"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</row>
    <row r="230" spans="15:49"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</row>
    <row r="231" spans="15:49"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</row>
    <row r="232" spans="15:49"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</row>
    <row r="233" spans="15:49"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</row>
    <row r="234" spans="15:49"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</row>
    <row r="235" spans="15:49"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</row>
    <row r="236" spans="15:49"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</row>
    <row r="237" spans="15:49"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</row>
    <row r="238" spans="15:49"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</row>
    <row r="239" spans="15:49"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</row>
    <row r="240" spans="15:49"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</row>
    <row r="241" spans="15:49"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</row>
    <row r="242" spans="15:49"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</row>
    <row r="243" spans="15:49"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</row>
    <row r="244" spans="15:49"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</row>
    <row r="245" spans="15:49"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</row>
    <row r="246" spans="15:49"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</row>
    <row r="247" spans="15:49"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</row>
    <row r="248" spans="15:49"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</row>
    <row r="249" spans="15:49"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</row>
    <row r="250" spans="15:49"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</row>
    <row r="251" spans="15:49"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</row>
    <row r="252" spans="15:49"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</row>
    <row r="253" spans="15:49"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</row>
    <row r="254" spans="15:49"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</row>
    <row r="255" spans="15:49"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</row>
    <row r="256" spans="15:49"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</row>
    <row r="257" spans="15:49"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</row>
    <row r="258" spans="15:49"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</row>
    <row r="259" spans="15:49"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</row>
    <row r="260" spans="15:49"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</row>
    <row r="261" spans="15:49"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</row>
    <row r="262" spans="15:49"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</row>
    <row r="263" spans="15:49"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</row>
    <row r="264" spans="15:49"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</row>
    <row r="265" spans="15:49"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</row>
    <row r="266" spans="15:49"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</row>
    <row r="267" spans="15:49"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</row>
    <row r="268" spans="15:49"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</row>
    <row r="269" spans="15:49"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</row>
    <row r="270" spans="15:49"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</row>
    <row r="271" spans="15:49"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</row>
    <row r="272" spans="15:49"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</row>
    <row r="273" spans="15:49"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</row>
    <row r="274" spans="15:49"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</row>
    <row r="275" spans="15:49"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</row>
    <row r="276" spans="15:49"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</row>
    <row r="277" spans="15:49"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</row>
    <row r="278" spans="15:49"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</row>
    <row r="279" spans="15:49"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</row>
    <row r="280" spans="15:49"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</row>
    <row r="281" spans="15:49"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</row>
    <row r="282" spans="15:49"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</row>
    <row r="283" spans="15:49"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</row>
    <row r="284" spans="15:49"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</row>
    <row r="285" spans="15:49"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</row>
    <row r="286" spans="15:49"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</row>
    <row r="287" spans="15:49"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</row>
    <row r="288" spans="15:49"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</row>
    <row r="289" spans="15:49"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</row>
    <row r="290" spans="15:49"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</row>
    <row r="291" spans="15:49"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</row>
    <row r="292" spans="15:49"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</row>
    <row r="293" spans="15:49"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</row>
    <row r="294" spans="15:49"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</row>
    <row r="295" spans="15:49"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</row>
    <row r="296" spans="15:49"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</row>
    <row r="297" spans="15:49"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</row>
    <row r="298" spans="15:49"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</row>
    <row r="299" spans="15:49"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</row>
    <row r="300" spans="15:49"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</row>
    <row r="301" spans="15:49"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</row>
    <row r="302" spans="15:49"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</row>
    <row r="303" spans="15:49"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</row>
    <row r="304" spans="15:49"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</row>
    <row r="305" spans="15:49"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</row>
    <row r="306" spans="15:49"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</row>
    <row r="307" spans="15:49"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</row>
    <row r="308" spans="15:49"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</row>
    <row r="309" spans="15:49"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</row>
    <row r="310" spans="15:49"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</row>
    <row r="311" spans="15:49"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</row>
    <row r="312" spans="15:49"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</row>
    <row r="313" spans="15:49"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</row>
    <row r="314" spans="15:49"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</row>
    <row r="315" spans="15:49"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</row>
    <row r="316" spans="15:49"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</row>
    <row r="317" spans="15:49"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</row>
    <row r="318" spans="15:49"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</row>
    <row r="319" spans="15:49"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</row>
    <row r="320" spans="15:49"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</row>
    <row r="321" spans="15:49"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</row>
    <row r="322" spans="15:49"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</row>
    <row r="323" spans="15:49"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</row>
    <row r="324" spans="15:49"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</row>
    <row r="325" spans="15:49"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</row>
    <row r="326" spans="15:49"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</row>
    <row r="327" spans="15:49"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</row>
    <row r="328" spans="15:49"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</row>
    <row r="329" spans="15:49"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</row>
    <row r="330" spans="15:49"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</row>
    <row r="331" spans="15:49"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</row>
    <row r="332" spans="15:49"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</row>
    <row r="333" spans="15:49"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</row>
    <row r="334" spans="15:49"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</row>
    <row r="335" spans="15:49"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</row>
    <row r="336" spans="15:49"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</row>
    <row r="337" spans="15:49"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</row>
    <row r="338" spans="15:49"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</row>
    <row r="339" spans="15:49"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</row>
    <row r="340" spans="15:49"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</row>
    <row r="341" spans="15:49"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</row>
    <row r="342" spans="15:49"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</row>
    <row r="343" spans="15:49"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</row>
    <row r="344" spans="15:49"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</row>
    <row r="345" spans="15:49"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</row>
    <row r="346" spans="15:49"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</row>
    <row r="347" spans="15:49"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</row>
    <row r="348" spans="15:49"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</row>
    <row r="349" spans="15:49"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</row>
    <row r="350" spans="15:49"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</row>
    <row r="351" spans="15:49"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</row>
    <row r="352" spans="15:49"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</row>
    <row r="353" spans="15:49"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</row>
    <row r="354" spans="15:49"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</row>
    <row r="355" spans="15:49"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</row>
    <row r="356" spans="15:49"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</row>
    <row r="357" spans="15:49"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</row>
    <row r="358" spans="15:49"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</row>
    <row r="359" spans="15:49"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</row>
    <row r="360" spans="15:49"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</row>
    <row r="361" spans="15:49"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</row>
    <row r="362" spans="15:49"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</row>
    <row r="363" spans="15:49"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</row>
    <row r="364" spans="15:49"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</row>
    <row r="365" spans="15:49"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</row>
    <row r="366" spans="15:49"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</row>
    <row r="367" spans="15:49"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</row>
    <row r="368" spans="15:49"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</row>
    <row r="369" spans="15:49"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</row>
    <row r="370" spans="15:49"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</row>
    <row r="371" spans="15:49"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</row>
    <row r="372" spans="15:49"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</row>
    <row r="373" spans="15:49"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</row>
    <row r="374" spans="15:49"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</row>
    <row r="375" spans="15:49"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</row>
    <row r="376" spans="15:49"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</row>
    <row r="377" spans="15:49"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</row>
    <row r="378" spans="15:49"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</row>
    <row r="379" spans="15:49"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</row>
    <row r="380" spans="15:49"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</row>
    <row r="381" spans="15:49"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</row>
    <row r="382" spans="15:49"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</row>
    <row r="383" spans="15:49"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</row>
    <row r="384" spans="15:49"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</row>
    <row r="385" spans="15:49"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</row>
    <row r="386" spans="15:49"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</row>
    <row r="387" spans="15:49"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</row>
    <row r="388" spans="15:49"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</row>
    <row r="389" spans="15:49"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</row>
    <row r="390" spans="15:49"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</row>
    <row r="391" spans="15:49"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</row>
    <row r="392" spans="15:49"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</row>
    <row r="393" spans="15:49"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</row>
    <row r="394" spans="15:49"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</row>
    <row r="395" spans="15:49"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</row>
    <row r="396" spans="15:49"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</row>
    <row r="397" spans="15:49"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</row>
    <row r="398" spans="15:49"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</row>
    <row r="399" spans="15:49"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</row>
    <row r="400" spans="15:49"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</row>
    <row r="401" spans="15:49"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</row>
    <row r="402" spans="15:49"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</row>
    <row r="403" spans="15:49"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</row>
    <row r="404" spans="15:49"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</row>
    <row r="405" spans="15:49"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</row>
    <row r="406" spans="15:49"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</row>
    <row r="407" spans="15:49"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</row>
    <row r="408" spans="15:49"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</row>
    <row r="409" spans="15:49"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</row>
    <row r="410" spans="15:49"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</row>
    <row r="411" spans="15:49"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</row>
    <row r="412" spans="15:49"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</row>
    <row r="413" spans="15:49"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</row>
    <row r="414" spans="15:49"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</row>
    <row r="415" spans="15:49"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</row>
    <row r="416" spans="15:49"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</row>
    <row r="417" spans="15:49"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</row>
    <row r="418" spans="15:49"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</row>
    <row r="419" spans="15:49"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</row>
    <row r="420" spans="15:49"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</row>
    <row r="421" spans="15:49"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</row>
    <row r="422" spans="15:49"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</row>
    <row r="423" spans="15:49"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</row>
    <row r="424" spans="15:49"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</row>
    <row r="425" spans="15:49"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</row>
    <row r="426" spans="15:49"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</row>
    <row r="427" spans="15:49"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</row>
    <row r="428" spans="15:49"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</row>
    <row r="429" spans="15:49"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</row>
    <row r="430" spans="15:49"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</row>
    <row r="431" spans="15:49"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</row>
    <row r="432" spans="15:49"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</row>
    <row r="433" spans="15:49"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</row>
    <row r="434" spans="15:49"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</row>
    <row r="435" spans="15:49"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</row>
    <row r="436" spans="15:49"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</row>
    <row r="437" spans="15:49"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</row>
    <row r="438" spans="15:49"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</row>
    <row r="439" spans="15:49"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</row>
    <row r="440" spans="15:49"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</row>
    <row r="441" spans="15:49"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</row>
    <row r="442" spans="15:49"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</row>
    <row r="443" spans="15:49"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</row>
    <row r="444" spans="15:49"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</row>
    <row r="445" spans="15:49"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</row>
    <row r="446" spans="15:49"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</row>
    <row r="447" spans="15:49"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</row>
    <row r="448" spans="15:49"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</row>
    <row r="449" spans="15:49"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</row>
    <row r="450" spans="15:49"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</row>
    <row r="451" spans="15:49"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</row>
    <row r="452" spans="15:49"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</row>
    <row r="453" spans="15:49"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</row>
    <row r="454" spans="15:49"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</row>
    <row r="455" spans="15:49"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</row>
    <row r="456" spans="15:49"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</row>
    <row r="457" spans="15:49"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</row>
    <row r="458" spans="15:49"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</row>
    <row r="459" spans="15:49"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</row>
    <row r="460" spans="15:49"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</row>
    <row r="461" spans="15:49"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</row>
    <row r="462" spans="15:49"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</row>
    <row r="463" spans="15:49"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</row>
    <row r="464" spans="15:49"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</row>
    <row r="465" spans="15:49"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</row>
    <row r="466" spans="15:49"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</row>
    <row r="467" spans="15:49"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</row>
    <row r="468" spans="15:49"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</row>
    <row r="469" spans="15:49"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</row>
    <row r="470" spans="15:49"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</row>
    <row r="471" spans="15:49"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</row>
    <row r="472" spans="15:49"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</row>
    <row r="473" spans="15:49"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</row>
    <row r="474" spans="15:49"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</row>
    <row r="475" spans="15:49"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</row>
    <row r="476" spans="15:49"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</row>
    <row r="477" spans="15:49"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</row>
    <row r="478" spans="15:49"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</row>
    <row r="479" spans="15:49"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</row>
    <row r="480" spans="15:49"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</row>
    <row r="481" spans="15:49"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</row>
    <row r="482" spans="15:49"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</row>
    <row r="483" spans="15:49"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</row>
    <row r="484" spans="15:49"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</row>
    <row r="485" spans="15:49"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</row>
    <row r="486" spans="15:49"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</row>
    <row r="487" spans="15:49"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</row>
    <row r="488" spans="15:49"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</row>
    <row r="489" spans="15:49"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</row>
    <row r="490" spans="15:49"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</row>
    <row r="491" spans="15:49"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</row>
    <row r="492" spans="15:49"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</row>
    <row r="493" spans="15:49"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</row>
    <row r="494" spans="15:49"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</row>
    <row r="495" spans="15:49"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</row>
    <row r="496" spans="15:49"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</row>
    <row r="497" spans="15:49"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</row>
    <row r="498" spans="15:49"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</row>
    <row r="499" spans="15:49"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</row>
    <row r="500" spans="15:49"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</row>
    <row r="501" spans="15:49"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</row>
    <row r="502" spans="15:49"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</row>
    <row r="503" spans="15:49"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</row>
    <row r="504" spans="15:49"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</row>
    <row r="505" spans="15:49"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</row>
    <row r="506" spans="15:49"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</row>
    <row r="507" spans="15:49"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</row>
    <row r="508" spans="15:49"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</row>
    <row r="509" spans="15:49"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</row>
    <row r="510" spans="15:49"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</row>
    <row r="511" spans="15:49"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</row>
    <row r="512" spans="15:49"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</row>
    <row r="513" spans="15:49"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</row>
    <row r="514" spans="15:49"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</row>
    <row r="515" spans="15:49"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</row>
    <row r="516" spans="15:49"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</row>
    <row r="517" spans="15:49"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</row>
    <row r="518" spans="15:49"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</row>
    <row r="519" spans="15:49"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</row>
    <row r="520" spans="15:49"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</row>
    <row r="521" spans="15:49"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</row>
    <row r="522" spans="15:49"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</row>
    <row r="523" spans="15:49"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</row>
    <row r="524" spans="15:49"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</row>
    <row r="525" spans="15:49"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</row>
    <row r="526" spans="15:49"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</row>
    <row r="527" spans="15:49"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</row>
    <row r="528" spans="15:49"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</row>
    <row r="529" spans="15:49"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</row>
    <row r="530" spans="15:49"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</row>
    <row r="531" spans="15:49"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</row>
    <row r="532" spans="15:49"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</row>
    <row r="533" spans="15:49"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</row>
    <row r="534" spans="15:49"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</row>
    <row r="535" spans="15:49"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</row>
    <row r="536" spans="15:49"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</row>
    <row r="537" spans="15:49"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</row>
    <row r="538" spans="15:49"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</row>
    <row r="539" spans="15:49"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</row>
    <row r="540" spans="15:49"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</row>
    <row r="541" spans="15:49"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</row>
    <row r="542" spans="15:49"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</row>
    <row r="543" spans="15:49"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</row>
    <row r="544" spans="15:49"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</row>
    <row r="545" spans="15:49"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</row>
    <row r="546" spans="15:49"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</row>
    <row r="547" spans="15:49"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</row>
    <row r="548" spans="15:49"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</row>
    <row r="549" spans="15:49"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</row>
    <row r="550" spans="15:49"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</row>
    <row r="551" spans="15:49"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</row>
    <row r="552" spans="15:49"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</row>
    <row r="553" spans="15:49"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</row>
    <row r="554" spans="15:49"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</row>
    <row r="555" spans="15:49"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</row>
    <row r="556" spans="15:49"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</row>
    <row r="557" spans="15:49"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</row>
    <row r="558" spans="15:49"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</row>
    <row r="559" spans="15:49"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</row>
    <row r="560" spans="15:49"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</row>
    <row r="561" spans="15:49"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</row>
    <row r="562" spans="15:49"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</row>
    <row r="563" spans="15:49"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</row>
    <row r="564" spans="15:49"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</row>
    <row r="565" spans="15:49"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</row>
    <row r="566" spans="15:49"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</row>
    <row r="567" spans="15:49"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</row>
    <row r="568" spans="15:49"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</row>
    <row r="569" spans="15:49"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</row>
    <row r="570" spans="15:49"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</row>
    <row r="571" spans="15:49"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</row>
    <row r="572" spans="15:49"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</row>
    <row r="573" spans="15:49"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</row>
    <row r="574" spans="15:49"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</row>
    <row r="575" spans="15:49"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</row>
    <row r="576" spans="15:49"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</row>
    <row r="577" spans="15:49"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</row>
    <row r="578" spans="15:49"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</row>
    <row r="579" spans="15:49"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</row>
    <row r="580" spans="15:49"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</row>
    <row r="581" spans="15:49"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</row>
    <row r="582" spans="15:49"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</row>
    <row r="583" spans="15:49"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</row>
    <row r="584" spans="15:49"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</row>
    <row r="585" spans="15:49"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</row>
    <row r="586" spans="15:49"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</row>
    <row r="587" spans="15:49"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</row>
    <row r="588" spans="15:49"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</row>
    <row r="589" spans="15:49"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</row>
    <row r="590" spans="15:49"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</row>
    <row r="591" spans="15:49"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</row>
    <row r="592" spans="15:49"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</row>
    <row r="593" spans="15:49"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</row>
    <row r="594" spans="15:49"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</row>
    <row r="595" spans="15:49"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</row>
    <row r="596" spans="15:49"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</row>
    <row r="597" spans="15:49"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</row>
    <row r="598" spans="15:49"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</row>
    <row r="599" spans="15:49"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</row>
    <row r="600" spans="15:49"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</row>
    <row r="601" spans="15:49"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</row>
    <row r="602" spans="15:49"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</row>
    <row r="603" spans="15:49"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</row>
    <row r="604" spans="15:49"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</row>
    <row r="605" spans="15:49"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</row>
    <row r="606" spans="15:49"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</row>
    <row r="607" spans="15:49"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</row>
    <row r="608" spans="15:49"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</row>
    <row r="609" spans="15:49"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</row>
    <row r="610" spans="15:49"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</row>
    <row r="611" spans="15:49"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</row>
    <row r="612" spans="15:49"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</row>
    <row r="613" spans="15:49"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</row>
    <row r="614" spans="15:49"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</row>
    <row r="615" spans="15:49"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</row>
    <row r="616" spans="15:49"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</row>
    <row r="617" spans="15:49"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</row>
    <row r="618" spans="15:49"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</row>
    <row r="619" spans="15:49"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</row>
    <row r="620" spans="15:49"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</row>
    <row r="621" spans="15:49"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</row>
    <row r="622" spans="15:49"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</row>
    <row r="623" spans="15:49"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</row>
    <row r="624" spans="15:49"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</row>
    <row r="625" spans="15:49"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</row>
    <row r="626" spans="15:49"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</row>
    <row r="627" spans="15:49"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</row>
    <row r="628" spans="15:49"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</row>
    <row r="629" spans="15:49"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</row>
    <row r="630" spans="15:49"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</row>
    <row r="631" spans="15:49"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</row>
    <row r="632" spans="15:49"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</row>
    <row r="633" spans="15:49"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</row>
    <row r="634" spans="15:49"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</row>
    <row r="635" spans="15:49"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</row>
    <row r="636" spans="15:49"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</row>
    <row r="637" spans="15:49"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</row>
    <row r="638" spans="15:49"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</row>
    <row r="639" spans="15:49"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</row>
    <row r="640" spans="15:49"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</row>
    <row r="641" spans="15:49"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</row>
    <row r="642" spans="15:49"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</row>
    <row r="643" spans="15:49"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</row>
    <row r="644" spans="15:49"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</row>
    <row r="645" spans="15:49"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</row>
    <row r="646" spans="15:49"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</row>
    <row r="647" spans="15:49"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</row>
    <row r="648" spans="15:49"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</row>
    <row r="649" spans="15:49"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</row>
    <row r="650" spans="15:49"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</row>
    <row r="651" spans="15:49"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</row>
    <row r="652" spans="15:49"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</row>
    <row r="653" spans="15:49"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</row>
    <row r="654" spans="15:49"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</row>
    <row r="655" spans="15:49"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</row>
    <row r="656" spans="15:49"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</row>
    <row r="657" spans="15:49"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</row>
    <row r="658" spans="15:49"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</row>
    <row r="659" spans="15:49"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</row>
    <row r="660" spans="15:49"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</row>
    <row r="661" spans="15:49"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</row>
    <row r="662" spans="15:49"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</row>
    <row r="663" spans="15:49"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</row>
    <row r="664" spans="15:49"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</row>
    <row r="665" spans="15:49"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</row>
    <row r="666" spans="15:49"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</row>
    <row r="667" spans="15:49"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</row>
    <row r="668" spans="15:49"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</row>
    <row r="669" spans="15:49"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</row>
    <row r="670" spans="15:49"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</row>
    <row r="671" spans="15:49"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</row>
    <row r="672" spans="15:49"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</row>
    <row r="673" spans="15:49"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</row>
    <row r="674" spans="15:49"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</row>
    <row r="675" spans="15:49"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</row>
    <row r="676" spans="15:49"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</row>
    <row r="677" spans="15:49"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</row>
    <row r="678" spans="15:49"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</row>
    <row r="679" spans="15:49"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</row>
    <row r="680" spans="15:49"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</row>
    <row r="681" spans="15:49"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</row>
    <row r="682" spans="15:49"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</row>
    <row r="683" spans="15:49"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</row>
    <row r="684" spans="15:49"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</row>
    <row r="685" spans="15:49"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</row>
    <row r="686" spans="15:49"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</row>
    <row r="687" spans="15:49"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</row>
    <row r="688" spans="15:49"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</row>
    <row r="689" spans="15:49"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</row>
    <row r="690" spans="15:49"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</row>
    <row r="691" spans="15:49"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</row>
    <row r="692" spans="15:49"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</row>
    <row r="693" spans="15:49"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</row>
    <row r="694" spans="15:49"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</row>
    <row r="695" spans="15:49"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</row>
    <row r="696" spans="15:49"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</row>
    <row r="697" spans="15:49"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</row>
    <row r="698" spans="15:49"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</row>
    <row r="699" spans="15:49"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</row>
    <row r="700" spans="15:49"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</row>
    <row r="701" spans="15:49"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</row>
    <row r="702" spans="15:49"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</row>
    <row r="703" spans="15:49"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</row>
    <row r="704" spans="15:49"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</row>
    <row r="705" spans="15:49"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</row>
    <row r="706" spans="15:49"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</row>
    <row r="707" spans="15:49"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</row>
    <row r="708" spans="15:49"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</row>
    <row r="709" spans="15:49"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</row>
    <row r="710" spans="15:49"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</row>
    <row r="711" spans="15:49"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</row>
    <row r="712" spans="15:49"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</row>
    <row r="713" spans="15:49"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</row>
    <row r="714" spans="15:49"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</row>
    <row r="715" spans="15:49"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</row>
    <row r="716" spans="15:49"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</row>
    <row r="717" spans="15:49"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</row>
    <row r="718" spans="15:49"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</row>
    <row r="719" spans="15:49"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</row>
    <row r="720" spans="15:49"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</row>
    <row r="721" spans="15:49"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</row>
    <row r="722" spans="15:49"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</row>
    <row r="723" spans="15:49"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</row>
    <row r="724" spans="15:49"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</row>
    <row r="725" spans="15:49"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</row>
    <row r="726" spans="15:49"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</row>
    <row r="727" spans="15:49"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</row>
    <row r="728" spans="15:49"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</row>
    <row r="729" spans="15:49"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</row>
    <row r="730" spans="15:49"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</row>
    <row r="731" spans="15:49"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</row>
    <row r="732" spans="15:49"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</row>
    <row r="733" spans="15:49"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</row>
    <row r="734" spans="15:49"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</row>
    <row r="735" spans="15:49"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</row>
    <row r="736" spans="15:49"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</row>
    <row r="737" spans="15:49"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</row>
    <row r="738" spans="15:49"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</row>
    <row r="739" spans="15:49"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</row>
    <row r="740" spans="15:49"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</row>
    <row r="741" spans="15:49"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</row>
    <row r="742" spans="15:49"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</row>
    <row r="743" spans="15:49"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</row>
    <row r="744" spans="15:49"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</row>
    <row r="745" spans="15:49"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</row>
    <row r="746" spans="15:49"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</row>
    <row r="747" spans="15:49"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</row>
    <row r="748" spans="15:49"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</row>
    <row r="749" spans="15:49"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</row>
    <row r="750" spans="15:49"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</row>
    <row r="751" spans="15:49"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</row>
    <row r="752" spans="15:49"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</row>
    <row r="753" spans="15:49"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</row>
    <row r="754" spans="15:49"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</row>
    <row r="755" spans="15:49"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</row>
    <row r="756" spans="15:49"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</row>
    <row r="757" spans="15:49"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</row>
    <row r="758" spans="15:49"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</row>
    <row r="759" spans="15:49"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</row>
    <row r="760" spans="15:49"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</row>
    <row r="761" spans="15:49"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</row>
    <row r="762" spans="15:49"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</row>
    <row r="763" spans="15:49"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</row>
    <row r="764" spans="15:49"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</row>
    <row r="765" spans="15:49"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</row>
    <row r="766" spans="15:49"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</row>
    <row r="767" spans="15:49"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</row>
    <row r="768" spans="15:49"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</row>
    <row r="769" spans="15:49"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</row>
    <row r="770" spans="15:49"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</row>
    <row r="771" spans="15:49"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</row>
    <row r="772" spans="15:49"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</row>
    <row r="773" spans="15:49"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</row>
    <row r="774" spans="15:49"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</row>
    <row r="775" spans="15:49"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</row>
    <row r="776" spans="15:49"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</row>
    <row r="777" spans="15:49"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</row>
    <row r="778" spans="15:49"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</row>
    <row r="779" spans="15:49"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</row>
    <row r="780" spans="15:49"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</row>
    <row r="781" spans="15:49"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</row>
    <row r="782" spans="15:49"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</row>
    <row r="783" spans="15:49"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</row>
    <row r="784" spans="15:49"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</row>
    <row r="785" spans="15:49"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</row>
    <row r="786" spans="15:49"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</row>
    <row r="787" spans="15:49"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</row>
    <row r="788" spans="15:49"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</row>
    <row r="789" spans="15:49"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</row>
    <row r="790" spans="15:49"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</row>
    <row r="791" spans="15:49"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</row>
    <row r="792" spans="15:49"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</row>
    <row r="793" spans="15:49"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</row>
    <row r="794" spans="15:49"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</row>
    <row r="795" spans="15:49"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</row>
    <row r="796" spans="15:49"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</row>
    <row r="797" spans="15:49"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</row>
    <row r="798" spans="15:49"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</row>
    <row r="799" spans="15:49"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</row>
    <row r="800" spans="15:49"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</row>
    <row r="801" spans="15:49"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</row>
    <row r="802" spans="15:49"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</row>
    <row r="803" spans="15:49"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</row>
    <row r="804" spans="15:49"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</row>
    <row r="805" spans="15:49"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</row>
    <row r="806" spans="15:49"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</row>
    <row r="807" spans="15:49"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</row>
    <row r="808" spans="15:49"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</row>
    <row r="809" spans="15:49"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</row>
    <row r="810" spans="15:49"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</row>
    <row r="811" spans="15:49"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</row>
    <row r="812" spans="15:49"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</row>
    <row r="813" spans="15:49"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</row>
    <row r="814" spans="15:49"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</row>
    <row r="815" spans="15:49"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</row>
    <row r="816" spans="15:49"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</row>
    <row r="817" spans="15:49"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</row>
    <row r="818" spans="15:49"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</row>
    <row r="819" spans="15:49"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</row>
    <row r="820" spans="15:49"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</row>
    <row r="821" spans="15:49"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</row>
    <row r="822" spans="15:49"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</row>
    <row r="823" spans="15:49"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</row>
    <row r="824" spans="15:49"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</row>
    <row r="825" spans="15:49"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</row>
    <row r="826" spans="15:49"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</row>
    <row r="827" spans="15:49"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</row>
    <row r="828" spans="15:49"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</row>
    <row r="829" spans="15:49"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</row>
    <row r="830" spans="15:49"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</row>
    <row r="831" spans="15:49"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</row>
    <row r="832" spans="15:49"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</row>
    <row r="833" spans="15:49"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</row>
    <row r="834" spans="15:49"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</row>
    <row r="835" spans="15:49"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</row>
    <row r="836" spans="15:49"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</row>
    <row r="837" spans="15:49"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</row>
    <row r="838" spans="15:49"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</row>
    <row r="839" spans="15:49"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</row>
    <row r="840" spans="15:49"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</row>
    <row r="841" spans="15:49"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</row>
    <row r="842" spans="15:49"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</row>
    <row r="843" spans="15:49"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</row>
    <row r="844" spans="15:49"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</row>
    <row r="845" spans="15:49"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</row>
    <row r="846" spans="15:49"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</row>
    <row r="847" spans="15:49"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</row>
    <row r="848" spans="15:49"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</row>
    <row r="849" spans="15:49"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</row>
    <row r="850" spans="15:49"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</row>
    <row r="851" spans="15:49"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</row>
    <row r="852" spans="15:49"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</row>
    <row r="853" spans="15:49"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</row>
    <row r="854" spans="15:49"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</row>
    <row r="855" spans="15:49"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</row>
    <row r="856" spans="15:49"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</row>
    <row r="857" spans="15:49"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</row>
  </sheetData>
  <mergeCells count="53">
    <mergeCell ref="E26:F26"/>
    <mergeCell ref="H26:I26"/>
    <mergeCell ref="M26:N26"/>
    <mergeCell ref="K27:N27"/>
    <mergeCell ref="E28:F28"/>
    <mergeCell ref="H28:I28"/>
    <mergeCell ref="K28:L28"/>
    <mergeCell ref="M28:N28"/>
    <mergeCell ref="H25:J25"/>
    <mergeCell ref="K25:N25"/>
    <mergeCell ref="C20:D20"/>
    <mergeCell ref="H20:I20"/>
    <mergeCell ref="K20:N20"/>
    <mergeCell ref="C21:D21"/>
    <mergeCell ref="E21:G21"/>
    <mergeCell ref="C22:D22"/>
    <mergeCell ref="E22:G22"/>
    <mergeCell ref="C23:D23"/>
    <mergeCell ref="E23:G23"/>
    <mergeCell ref="C24:D24"/>
    <mergeCell ref="E24:G24"/>
    <mergeCell ref="M24:N24"/>
    <mergeCell ref="A7:A9"/>
    <mergeCell ref="B7:B9"/>
    <mergeCell ref="C7:G7"/>
    <mergeCell ref="C25:D25"/>
    <mergeCell ref="E25:G25"/>
    <mergeCell ref="A17:D17"/>
    <mergeCell ref="K17:L17"/>
    <mergeCell ref="C19:D19"/>
    <mergeCell ref="H19:J19"/>
    <mergeCell ref="K19:N19"/>
    <mergeCell ref="H7:J7"/>
    <mergeCell ref="K7:L7"/>
    <mergeCell ref="M7:N7"/>
    <mergeCell ref="C8:C9"/>
    <mergeCell ref="D8:D9"/>
    <mergeCell ref="E8:E9"/>
    <mergeCell ref="F8:F9"/>
    <mergeCell ref="M8:M9"/>
    <mergeCell ref="N8:N9"/>
    <mergeCell ref="G8:G9"/>
    <mergeCell ref="H8:H9"/>
    <mergeCell ref="I8:I9"/>
    <mergeCell ref="J8:J9"/>
    <mergeCell ref="K8:K9"/>
    <mergeCell ref="L8:L9"/>
    <mergeCell ref="D1:J1"/>
    <mergeCell ref="G2:K2"/>
    <mergeCell ref="D3:J3"/>
    <mergeCell ref="H5:J5"/>
    <mergeCell ref="H6:J6"/>
    <mergeCell ref="K6:L6"/>
  </mergeCells>
  <pageMargins left="0.51180555555555496" right="0.51180555555555496" top="0.78749999999999998" bottom="0.78749999999999998" header="0.51180555555555496" footer="0.51180555555555496"/>
  <pageSetup paperSize="9" scale="4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DEA6-12D8-42B1-BB9E-E35896E0AB22}">
  <sheetPr>
    <pageSetUpPr fitToPage="1"/>
  </sheetPr>
  <dimension ref="A1:AW857"/>
  <sheetViews>
    <sheetView tabSelected="1" zoomScale="55" zoomScaleNormal="55" workbookViewId="0">
      <selection sqref="A1:N28"/>
    </sheetView>
  </sheetViews>
  <sheetFormatPr defaultColWidth="9.140625" defaultRowHeight="15"/>
  <cols>
    <col min="1" max="1" width="8.7109375" customWidth="1"/>
    <col min="2" max="2" width="60.7109375" customWidth="1"/>
    <col min="3" max="3" width="7.7109375" customWidth="1"/>
    <col min="4" max="4" width="12.7109375" customWidth="1"/>
    <col min="5" max="5" width="16.5703125" customWidth="1"/>
    <col min="6" max="6" width="15.7109375" customWidth="1"/>
    <col min="7" max="7" width="25" customWidth="1"/>
    <col min="8" max="8" width="17.28515625" customWidth="1"/>
    <col min="9" max="9" width="18.7109375" customWidth="1"/>
    <col min="10" max="10" width="20.140625" customWidth="1"/>
    <col min="11" max="11" width="12.5703125" customWidth="1"/>
    <col min="12" max="12" width="24.28515625" customWidth="1"/>
    <col min="13" max="13" width="19.28515625" customWidth="1"/>
    <col min="14" max="14" width="12.7109375" customWidth="1"/>
  </cols>
  <sheetData>
    <row r="1" spans="1:49" s="6" customFormat="1" ht="21.95" customHeight="1">
      <c r="A1" s="1"/>
      <c r="B1" s="2"/>
      <c r="C1" s="2"/>
      <c r="D1" s="189" t="s">
        <v>0</v>
      </c>
      <c r="E1" s="189"/>
      <c r="F1" s="189"/>
      <c r="G1" s="189"/>
      <c r="H1" s="189"/>
      <c r="I1" s="189"/>
      <c r="J1" s="189"/>
      <c r="K1" s="3"/>
      <c r="L1" s="3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s="6" customFormat="1" ht="21.95" customHeight="1">
      <c r="A2" s="7"/>
      <c r="B2" s="8"/>
      <c r="C2" s="8"/>
      <c r="D2" s="136" t="s">
        <v>1</v>
      </c>
      <c r="E2" s="136"/>
      <c r="F2" s="136"/>
      <c r="G2" s="190" t="s">
        <v>2</v>
      </c>
      <c r="H2" s="190"/>
      <c r="I2" s="190"/>
      <c r="J2" s="190"/>
      <c r="K2" s="190"/>
      <c r="L2" s="9"/>
      <c r="M2" s="9"/>
      <c r="N2" s="10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s="6" customFormat="1" ht="21.95" customHeight="1">
      <c r="A3" s="7"/>
      <c r="B3" s="8"/>
      <c r="C3" s="8"/>
      <c r="D3" s="191" t="s">
        <v>3</v>
      </c>
      <c r="E3" s="191"/>
      <c r="F3" s="191"/>
      <c r="G3" s="191"/>
      <c r="H3" s="191"/>
      <c r="I3" s="191"/>
      <c r="J3" s="191"/>
      <c r="K3" s="9"/>
      <c r="L3" s="9"/>
      <c r="M3" s="9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6" customFormat="1" ht="21.95" customHeight="1">
      <c r="A4" s="7"/>
      <c r="B4" s="8"/>
      <c r="C4" s="8"/>
      <c r="D4" s="8"/>
      <c r="E4" s="8"/>
      <c r="F4" s="8"/>
      <c r="G4" s="8"/>
      <c r="H4" s="11"/>
      <c r="I4" s="8"/>
      <c r="J4" s="8"/>
      <c r="K4" s="8"/>
      <c r="L4" s="8"/>
      <c r="M4" s="8"/>
      <c r="N4" s="10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21.95" customHeight="1">
      <c r="A5" s="12"/>
      <c r="B5" s="13" t="str">
        <f>G2</f>
        <v>ELEVARE ENGENHARIA E CONSTRUÇÕES LTDA</v>
      </c>
      <c r="C5" s="14"/>
      <c r="D5" s="14"/>
      <c r="E5" s="15"/>
      <c r="F5" s="15"/>
      <c r="G5" s="14"/>
      <c r="H5" s="192" t="s">
        <v>4</v>
      </c>
      <c r="I5" s="192"/>
      <c r="J5" s="192"/>
      <c r="K5" s="16" t="s">
        <v>5</v>
      </c>
      <c r="L5" s="14"/>
      <c r="M5" s="17"/>
      <c r="N5" s="18">
        <v>5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</row>
    <row r="6" spans="1:49" ht="21.95" customHeight="1">
      <c r="A6" s="20"/>
      <c r="B6" s="21" t="str">
        <f>D1</f>
        <v>OBRA: FKR-018 - RIL</v>
      </c>
      <c r="C6" s="22"/>
      <c r="D6" s="22"/>
      <c r="E6" s="23"/>
      <c r="F6" s="23"/>
      <c r="G6" s="22"/>
      <c r="H6" s="193" t="s">
        <v>62</v>
      </c>
      <c r="I6" s="193"/>
      <c r="J6" s="193"/>
      <c r="K6" s="194" t="s">
        <v>7</v>
      </c>
      <c r="L6" s="194"/>
      <c r="M6" s="24"/>
      <c r="N6" s="110" t="s">
        <v>63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</row>
    <row r="7" spans="1:49" ht="15.75" customHeight="1">
      <c r="A7" s="214" t="s">
        <v>9</v>
      </c>
      <c r="B7" s="203" t="s">
        <v>10</v>
      </c>
      <c r="C7" s="215" t="s">
        <v>11</v>
      </c>
      <c r="D7" s="215"/>
      <c r="E7" s="215"/>
      <c r="F7" s="215"/>
      <c r="G7" s="215"/>
      <c r="H7" s="200" t="s">
        <v>12</v>
      </c>
      <c r="I7" s="200"/>
      <c r="J7" s="200"/>
      <c r="K7" s="201" t="s">
        <v>13</v>
      </c>
      <c r="L7" s="201"/>
      <c r="M7" s="202" t="s">
        <v>14</v>
      </c>
      <c r="N7" s="203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</row>
    <row r="8" spans="1:49" ht="15" customHeight="1">
      <c r="A8" s="214"/>
      <c r="B8" s="203"/>
      <c r="C8" s="204" t="s">
        <v>15</v>
      </c>
      <c r="D8" s="205" t="s">
        <v>16</v>
      </c>
      <c r="E8" s="206" t="s">
        <v>21</v>
      </c>
      <c r="F8" s="208" t="s">
        <v>22</v>
      </c>
      <c r="G8" s="210" t="s">
        <v>17</v>
      </c>
      <c r="H8" s="211" t="s">
        <v>16</v>
      </c>
      <c r="I8" s="212" t="s">
        <v>21</v>
      </c>
      <c r="J8" s="187" t="s">
        <v>18</v>
      </c>
      <c r="K8" s="188" t="s">
        <v>16</v>
      </c>
      <c r="L8" s="187" t="s">
        <v>19</v>
      </c>
      <c r="M8" s="202" t="s">
        <v>20</v>
      </c>
      <c r="N8" s="203" t="s">
        <v>15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</row>
    <row r="9" spans="1:49">
      <c r="A9" s="214"/>
      <c r="B9" s="203"/>
      <c r="C9" s="204"/>
      <c r="D9" s="205"/>
      <c r="E9" s="207"/>
      <c r="F9" s="209"/>
      <c r="G9" s="210"/>
      <c r="H9" s="210"/>
      <c r="I9" s="213"/>
      <c r="J9" s="187"/>
      <c r="K9" s="188"/>
      <c r="L9" s="187"/>
      <c r="M9" s="202"/>
      <c r="N9" s="203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1:49" ht="18.75">
      <c r="A10" s="30">
        <v>1</v>
      </c>
      <c r="B10" s="31" t="s">
        <v>23</v>
      </c>
      <c r="C10" s="117" t="s">
        <v>24</v>
      </c>
      <c r="D10" s="32">
        <v>1</v>
      </c>
      <c r="E10" s="33">
        <v>323.73</v>
      </c>
      <c r="F10" s="118"/>
      <c r="G10" s="34">
        <f>E10</f>
        <v>323.73</v>
      </c>
      <c r="H10" s="35">
        <f>Auxiliar!F81</f>
        <v>77</v>
      </c>
      <c r="I10" s="119">
        <f>+E10</f>
        <v>323.73</v>
      </c>
      <c r="J10" s="36">
        <f>+I10*H10</f>
        <v>24927.210000000003</v>
      </c>
      <c r="K10" s="175">
        <f>+H10+'MED 04'!K10</f>
        <v>190</v>
      </c>
      <c r="L10" s="38">
        <f>+K10*I10</f>
        <v>61508.700000000004</v>
      </c>
      <c r="M10" s="39"/>
      <c r="N10" s="40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</row>
    <row r="11" spans="1:49" ht="18.75">
      <c r="A11" s="30">
        <v>2</v>
      </c>
      <c r="B11" s="31" t="s">
        <v>25</v>
      </c>
      <c r="C11" s="120" t="s">
        <v>24</v>
      </c>
      <c r="D11" s="32">
        <v>1</v>
      </c>
      <c r="E11" s="33">
        <v>443.63</v>
      </c>
      <c r="F11" s="44"/>
      <c r="G11" s="34">
        <f>E11</f>
        <v>443.63</v>
      </c>
      <c r="H11" s="35">
        <f>Auxiliar!E81</f>
        <v>17</v>
      </c>
      <c r="I11" s="121">
        <f>+E11</f>
        <v>443.63</v>
      </c>
      <c r="J11" s="36">
        <f>+I11*H11</f>
        <v>7541.71</v>
      </c>
      <c r="K11" s="175">
        <f>+H11+'MED 04'!K11</f>
        <v>48</v>
      </c>
      <c r="L11" s="38">
        <f>+K11*I11</f>
        <v>21294.239999999998</v>
      </c>
      <c r="M11" s="39"/>
      <c r="N11" s="40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</row>
    <row r="12" spans="1:49" ht="18.75">
      <c r="A12" s="30">
        <v>3</v>
      </c>
      <c r="B12" s="31" t="s">
        <v>26</v>
      </c>
      <c r="C12" s="120" t="s">
        <v>24</v>
      </c>
      <c r="D12" s="32">
        <v>1</v>
      </c>
      <c r="E12" s="33">
        <v>477.42</v>
      </c>
      <c r="F12" s="44"/>
      <c r="G12" s="34">
        <f>E12</f>
        <v>477.42</v>
      </c>
      <c r="H12" s="35">
        <f>Auxiliar!C81</f>
        <v>34</v>
      </c>
      <c r="I12" s="121">
        <f>+E12</f>
        <v>477.42</v>
      </c>
      <c r="J12" s="36">
        <f>+I12*H12</f>
        <v>16232.28</v>
      </c>
      <c r="K12" s="175">
        <f>+H12+'MED 04'!K12</f>
        <v>67</v>
      </c>
      <c r="L12" s="38">
        <f>+K12*I12</f>
        <v>31987.14</v>
      </c>
      <c r="M12" s="39"/>
      <c r="N12" s="40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</row>
    <row r="13" spans="1:49" ht="18.75">
      <c r="A13" s="30">
        <v>4</v>
      </c>
      <c r="B13" s="31" t="s">
        <v>53</v>
      </c>
      <c r="C13" s="120" t="s">
        <v>54</v>
      </c>
      <c r="D13" s="32">
        <v>1</v>
      </c>
      <c r="E13" s="33">
        <v>39.93</v>
      </c>
      <c r="F13" s="44"/>
      <c r="G13" s="34">
        <f t="shared" ref="G13:G16" si="0">E13</f>
        <v>39.93</v>
      </c>
      <c r="H13" s="157">
        <f>Auxiliar!M75</f>
        <v>28.213000000000001</v>
      </c>
      <c r="I13" s="121">
        <f t="shared" ref="I13:I16" si="1">+E13</f>
        <v>39.93</v>
      </c>
      <c r="J13" s="36">
        <f t="shared" ref="J13:J16" si="2">+I13*H13</f>
        <v>1126.5450900000001</v>
      </c>
      <c r="K13" s="175">
        <f>+H13+'MED 04'!K13</f>
        <v>136.75620000000001</v>
      </c>
      <c r="L13" s="38">
        <f>+K13*I13</f>
        <v>5460.6750659999998</v>
      </c>
      <c r="M13" s="39"/>
      <c r="N13" s="40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</row>
    <row r="14" spans="1:49" ht="24.95" customHeight="1">
      <c r="A14" s="30">
        <v>5</v>
      </c>
      <c r="B14" s="31" t="s">
        <v>64</v>
      </c>
      <c r="C14" s="120" t="s">
        <v>54</v>
      </c>
      <c r="D14" s="32">
        <v>1</v>
      </c>
      <c r="E14" s="33">
        <v>45.98</v>
      </c>
      <c r="F14" s="44"/>
      <c r="G14" s="34">
        <f t="shared" si="0"/>
        <v>45.98</v>
      </c>
      <c r="H14" s="157">
        <f>Auxiliar!M74</f>
        <v>26.872599999999998</v>
      </c>
      <c r="I14" s="121">
        <f t="shared" si="1"/>
        <v>45.98</v>
      </c>
      <c r="J14" s="36">
        <f t="shared" si="2"/>
        <v>1235.6021479999999</v>
      </c>
      <c r="K14" s="175">
        <f>+H14</f>
        <v>26.872599999999998</v>
      </c>
      <c r="L14" s="38">
        <f t="shared" ref="L14:L16" si="3">+K14*I14</f>
        <v>1235.6021479999999</v>
      </c>
      <c r="M14" s="39"/>
      <c r="N14" s="40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ht="24.95" customHeight="1">
      <c r="A15" s="30">
        <v>6</v>
      </c>
      <c r="B15" s="31" t="s">
        <v>56</v>
      </c>
      <c r="C15" s="120" t="s">
        <v>54</v>
      </c>
      <c r="D15" s="32">
        <v>1</v>
      </c>
      <c r="E15" s="33">
        <v>12.1</v>
      </c>
      <c r="F15" s="44"/>
      <c r="G15" s="34">
        <f t="shared" si="0"/>
        <v>12.1</v>
      </c>
      <c r="H15" s="157">
        <f>Auxiliar!M73</f>
        <v>130.4204</v>
      </c>
      <c r="I15" s="121">
        <f t="shared" si="1"/>
        <v>12.1</v>
      </c>
      <c r="J15" s="36">
        <f t="shared" si="2"/>
        <v>1578.0868399999999</v>
      </c>
      <c r="K15" s="175">
        <f>+H15+'MED 04'!K15</f>
        <v>148.44890000000001</v>
      </c>
      <c r="L15" s="38">
        <f>+K15*I15</f>
        <v>1796.2316900000001</v>
      </c>
      <c r="M15" s="39"/>
      <c r="N15" s="40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 ht="24.95" customHeight="1">
      <c r="A16" s="30">
        <v>7</v>
      </c>
      <c r="B16" s="31" t="s">
        <v>65</v>
      </c>
      <c r="C16" s="120" t="s">
        <v>66</v>
      </c>
      <c r="D16" s="32">
        <v>1</v>
      </c>
      <c r="E16" s="33">
        <v>9.8000000000000007</v>
      </c>
      <c r="F16" s="44"/>
      <c r="G16" s="34">
        <f t="shared" si="0"/>
        <v>9.8000000000000007</v>
      </c>
      <c r="H16" s="157">
        <f>Auxiliar!M72</f>
        <v>29.759999999999998</v>
      </c>
      <c r="I16" s="121">
        <f t="shared" si="1"/>
        <v>9.8000000000000007</v>
      </c>
      <c r="J16" s="36">
        <f t="shared" si="2"/>
        <v>291.64800000000002</v>
      </c>
      <c r="K16" s="175">
        <f>+H16</f>
        <v>29.759999999999998</v>
      </c>
      <c r="L16" s="38">
        <f t="shared" si="3"/>
        <v>291.64800000000002</v>
      </c>
      <c r="M16" s="39"/>
      <c r="N16" s="40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</row>
    <row r="17" spans="1:49" ht="24.95" customHeight="1">
      <c r="A17" s="218"/>
      <c r="B17" s="218"/>
      <c r="C17" s="218"/>
      <c r="D17" s="218"/>
      <c r="E17" s="55"/>
      <c r="F17" s="56"/>
      <c r="G17" s="57">
        <f>SUM(G10:G16)</f>
        <v>1352.59</v>
      </c>
      <c r="H17" s="58"/>
      <c r="I17" s="59"/>
      <c r="J17" s="60">
        <f>SUM(J10:J16)</f>
        <v>52933.082078000007</v>
      </c>
      <c r="K17" s="195" t="s">
        <v>27</v>
      </c>
      <c r="L17" s="196"/>
      <c r="M17" s="61">
        <f>+SUM(L10:L16)</f>
        <v>123574.236904</v>
      </c>
      <c r="N17" s="62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</row>
    <row r="18" spans="1:49" ht="24.95" customHeight="1">
      <c r="A18" s="63"/>
      <c r="B18" s="64"/>
      <c r="C18" s="64"/>
      <c r="D18" s="64"/>
      <c r="E18" s="65"/>
      <c r="F18" s="65"/>
      <c r="G18" s="65"/>
      <c r="H18" s="66"/>
      <c r="I18" s="65"/>
      <c r="J18" s="65"/>
      <c r="K18" s="65"/>
      <c r="L18" s="64"/>
      <c r="M18" s="65"/>
      <c r="N18" s="67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 ht="30" customHeight="1">
      <c r="A19" s="115"/>
      <c r="B19" s="115" t="s">
        <v>28</v>
      </c>
      <c r="C19" s="197"/>
      <c r="D19" s="197"/>
      <c r="E19" s="68"/>
      <c r="F19" s="68"/>
      <c r="G19" s="69">
        <f>J17</f>
        <v>52933.082078000007</v>
      </c>
      <c r="H19" s="198" t="s">
        <v>29</v>
      </c>
      <c r="I19" s="198"/>
      <c r="J19" s="198"/>
      <c r="K19" s="199" t="s">
        <v>30</v>
      </c>
      <c r="L19" s="199"/>
      <c r="M19" s="199"/>
      <c r="N19" s="19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 ht="30" customHeight="1">
      <c r="A20" s="70" t="s">
        <v>9</v>
      </c>
      <c r="B20" s="116" t="s">
        <v>31</v>
      </c>
      <c r="C20" s="223" t="s">
        <v>32</v>
      </c>
      <c r="D20" s="223"/>
      <c r="E20" s="71"/>
      <c r="F20" s="71"/>
      <c r="G20" s="72" t="s">
        <v>33</v>
      </c>
      <c r="H20" s="224" t="s">
        <v>34</v>
      </c>
      <c r="I20" s="224"/>
      <c r="J20" s="73">
        <f>+J26+'MED 04'!J20</f>
        <v>9792.6773938999995</v>
      </c>
      <c r="K20" s="225"/>
      <c r="L20" s="225"/>
      <c r="M20" s="225"/>
      <c r="N20" s="225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</row>
    <row r="21" spans="1:49">
      <c r="A21" s="112">
        <v>1</v>
      </c>
      <c r="B21" s="74" t="s">
        <v>58</v>
      </c>
      <c r="C21" s="226">
        <v>9</v>
      </c>
      <c r="D21" s="226"/>
      <c r="E21" s="227">
        <f>9.38*C21</f>
        <v>84.42</v>
      </c>
      <c r="F21" s="227"/>
      <c r="G21" s="227"/>
      <c r="H21" s="75"/>
      <c r="I21" s="76"/>
      <c r="J21" s="122"/>
      <c r="K21" s="77"/>
      <c r="L21" s="78"/>
      <c r="M21" s="79"/>
      <c r="N21" s="80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>
      <c r="A22" s="89">
        <v>2</v>
      </c>
      <c r="B22" s="113" t="s">
        <v>59</v>
      </c>
      <c r="C22" s="228"/>
      <c r="D22" s="228"/>
      <c r="E22" s="229">
        <f>62*C22</f>
        <v>0</v>
      </c>
      <c r="F22" s="229"/>
      <c r="G22" s="229"/>
      <c r="H22" s="81"/>
      <c r="I22" s="82"/>
      <c r="J22" s="82"/>
      <c r="K22" s="83"/>
      <c r="L22" s="84"/>
      <c r="M22" s="85"/>
      <c r="N22" s="86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</row>
    <row r="23" spans="1:49" ht="15" customHeight="1">
      <c r="A23" s="89">
        <v>3</v>
      </c>
      <c r="B23" s="74" t="s">
        <v>60</v>
      </c>
      <c r="C23" s="226">
        <v>2</v>
      </c>
      <c r="D23" s="226"/>
      <c r="E23" s="229">
        <f>6.5*C23</f>
        <v>13</v>
      </c>
      <c r="F23" s="229"/>
      <c r="G23" s="229"/>
      <c r="H23" s="81"/>
      <c r="I23" s="82"/>
      <c r="J23" s="82"/>
      <c r="K23" s="83"/>
      <c r="L23" s="84"/>
      <c r="M23" s="85"/>
      <c r="N23" s="86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</row>
    <row r="24" spans="1:49">
      <c r="A24" s="89">
        <v>4</v>
      </c>
      <c r="B24" s="74" t="s">
        <v>61</v>
      </c>
      <c r="C24" s="226"/>
      <c r="D24" s="226"/>
      <c r="E24" s="229">
        <f>23*C24</f>
        <v>0</v>
      </c>
      <c r="F24" s="229"/>
      <c r="G24" s="229"/>
      <c r="H24" s="81"/>
      <c r="I24" s="82"/>
      <c r="J24" s="82"/>
      <c r="K24" s="87"/>
      <c r="L24" s="88"/>
      <c r="M24" s="227"/>
      <c r="N24" s="227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</row>
    <row r="25" spans="1:49">
      <c r="A25" s="90">
        <v>5</v>
      </c>
      <c r="B25" s="91" t="s">
        <v>67</v>
      </c>
      <c r="C25" s="216">
        <v>3</v>
      </c>
      <c r="D25" s="216"/>
      <c r="E25" s="217">
        <f>C25*10.3</f>
        <v>30.900000000000002</v>
      </c>
      <c r="F25" s="217"/>
      <c r="G25" s="217"/>
      <c r="H25" s="219"/>
      <c r="I25" s="219"/>
      <c r="J25" s="220"/>
      <c r="K25" s="221"/>
      <c r="L25" s="221"/>
      <c r="M25" s="221"/>
      <c r="N25" s="222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</row>
    <row r="26" spans="1:49" ht="24.95" customHeight="1">
      <c r="A26" s="92"/>
      <c r="B26" s="93"/>
      <c r="C26" s="94"/>
      <c r="D26" s="95"/>
      <c r="E26" s="230" t="s">
        <v>35</v>
      </c>
      <c r="F26" s="230"/>
      <c r="G26" s="96">
        <f>+SUM(E21:G25)</f>
        <v>128.32</v>
      </c>
      <c r="H26" s="231" t="s">
        <v>36</v>
      </c>
      <c r="I26" s="231"/>
      <c r="J26" s="97">
        <f>G28*0.05</f>
        <v>2640.2381039000006</v>
      </c>
      <c r="K26" s="124" t="s">
        <v>37</v>
      </c>
      <c r="L26" s="95"/>
      <c r="M26" s="232">
        <f>M24</f>
        <v>0</v>
      </c>
      <c r="N26" s="232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</row>
    <row r="27" spans="1:49" ht="24.95" customHeight="1">
      <c r="A27" s="98"/>
      <c r="B27" s="99"/>
      <c r="C27" s="100"/>
      <c r="D27" s="101"/>
      <c r="E27" s="102"/>
      <c r="F27" s="103"/>
      <c r="G27" s="104"/>
      <c r="H27" s="105"/>
      <c r="I27" s="106"/>
      <c r="J27" s="106"/>
      <c r="K27" s="233"/>
      <c r="L27" s="233"/>
      <c r="M27" s="233"/>
      <c r="N27" s="233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</row>
    <row r="28" spans="1:49" ht="24.95" customHeight="1">
      <c r="A28" s="114"/>
      <c r="B28" s="107" t="s">
        <v>38</v>
      </c>
      <c r="C28" s="108"/>
      <c r="D28" s="68"/>
      <c r="E28" s="234" t="s">
        <v>39</v>
      </c>
      <c r="F28" s="234"/>
      <c r="G28" s="109">
        <f>G19-G26</f>
        <v>52804.762078000007</v>
      </c>
      <c r="H28" s="235" t="s">
        <v>40</v>
      </c>
      <c r="I28" s="235"/>
      <c r="J28" s="123">
        <f>G28-J26</f>
        <v>50164.523974100004</v>
      </c>
      <c r="K28" s="236" t="s">
        <v>41</v>
      </c>
      <c r="L28" s="236"/>
      <c r="M28" s="237">
        <f>+J28-M26</f>
        <v>50164.523974100004</v>
      </c>
      <c r="N28" s="237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</row>
    <row r="29" spans="1:49" ht="60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>
        <v>30466.5</v>
      </c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</row>
    <row r="30" spans="1:49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</row>
    <row r="31" spans="1:49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</row>
    <row r="32" spans="1:49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</row>
    <row r="33" spans="1:49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</row>
    <row r="34" spans="1:49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</row>
    <row r="35" spans="1:49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</row>
    <row r="36" spans="1:49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</row>
    <row r="37" spans="1:49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</row>
    <row r="38" spans="1:49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</row>
    <row r="39" spans="1:4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</row>
    <row r="40" spans="1:49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</row>
    <row r="41" spans="1:49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</row>
    <row r="42" spans="1:49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1:49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</row>
    <row r="44" spans="1:49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</row>
    <row r="45" spans="1:49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</row>
    <row r="46" spans="1:49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</row>
    <row r="47" spans="1:49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</row>
    <row r="48" spans="1:49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</row>
    <row r="49" spans="1: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</row>
    <row r="50" spans="1:49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</row>
    <row r="51" spans="1:49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</row>
    <row r="52" spans="1:49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</row>
    <row r="53" spans="1:49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</row>
    <row r="54" spans="1:49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</row>
    <row r="55" spans="1:49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</row>
    <row r="56" spans="1:49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</row>
    <row r="57" spans="1:49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</row>
    <row r="58" spans="1:49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</row>
    <row r="59" spans="1:4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</row>
    <row r="60" spans="1:49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</row>
    <row r="61" spans="1:49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</row>
    <row r="62" spans="1:49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</row>
    <row r="63" spans="1:49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</row>
    <row r="64" spans="1:49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</row>
    <row r="65" spans="1:49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</row>
    <row r="66" spans="1:49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</row>
    <row r="67" spans="1:49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</row>
    <row r="68" spans="1:49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</row>
    <row r="69" spans="1:4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</row>
    <row r="70" spans="1:49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</row>
    <row r="71" spans="1:49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</row>
    <row r="72" spans="1:49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</row>
    <row r="73" spans="1:49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</row>
    <row r="74" spans="1:49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</row>
    <row r="75" spans="1:49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</row>
    <row r="76" spans="1:49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</row>
    <row r="77" spans="1:49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</row>
    <row r="78" spans="1:49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</row>
    <row r="79" spans="1:4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</row>
    <row r="80" spans="1:49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</row>
    <row r="81" spans="1:49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</row>
    <row r="82" spans="1:49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</row>
    <row r="83" spans="1:49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</row>
    <row r="84" spans="1:49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</row>
    <row r="85" spans="1:49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</row>
    <row r="86" spans="1:49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</row>
    <row r="87" spans="1:49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</row>
    <row r="88" spans="1:49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</row>
    <row r="89" spans="1:4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</row>
    <row r="90" spans="1:49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</row>
    <row r="91" spans="1:49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</row>
    <row r="92" spans="1:49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</row>
    <row r="93" spans="1:49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</row>
    <row r="94" spans="1:49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</row>
    <row r="95" spans="1:49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</row>
    <row r="96" spans="1:49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</row>
    <row r="97" spans="1:49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</row>
    <row r="98" spans="1:49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</row>
    <row r="99" spans="1:4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</row>
    <row r="100" spans="1:49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</row>
    <row r="101" spans="1:49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</row>
    <row r="102" spans="1:49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</row>
    <row r="103" spans="1:49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</row>
    <row r="104" spans="1:49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</row>
    <row r="105" spans="1:49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</row>
    <row r="106" spans="1:49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</row>
    <row r="107" spans="1:49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</row>
    <row r="108" spans="1:49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</row>
    <row r="109" spans="1:4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</row>
    <row r="110" spans="1:49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</row>
    <row r="111" spans="1:49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</row>
    <row r="112" spans="1:49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</row>
    <row r="113" spans="1:49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</row>
    <row r="114" spans="1:49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</row>
    <row r="115" spans="1:49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</row>
    <row r="116" spans="1:49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</row>
    <row r="117" spans="1:49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</row>
    <row r="118" spans="1:49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</row>
    <row r="119" spans="1:4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</row>
    <row r="120" spans="1:49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</row>
    <row r="121" spans="1:49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</row>
    <row r="122" spans="1:49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</row>
    <row r="123" spans="1:49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</row>
    <row r="124" spans="1:49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</row>
    <row r="125" spans="1:49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</row>
    <row r="126" spans="1:49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</row>
    <row r="127" spans="1:49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</row>
    <row r="128" spans="1:49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</row>
    <row r="129" spans="1:4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</row>
    <row r="130" spans="1:49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</row>
    <row r="131" spans="1:49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</row>
    <row r="132" spans="1:49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</row>
    <row r="133" spans="1:49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</row>
    <row r="134" spans="1:49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</row>
    <row r="135" spans="1:4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</row>
    <row r="136" spans="1:4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</row>
    <row r="137" spans="1:49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</row>
    <row r="138" spans="1:49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</row>
    <row r="139" spans="1:4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</row>
    <row r="140" spans="1:49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</row>
    <row r="141" spans="1:49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</row>
    <row r="142" spans="1:49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</row>
    <row r="143" spans="1:49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</row>
    <row r="144" spans="1:49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</row>
    <row r="145" spans="1:49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</row>
    <row r="146" spans="1:49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</row>
    <row r="147" spans="1:49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</row>
    <row r="148" spans="1:49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</row>
    <row r="149" spans="1: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</row>
    <row r="150" spans="1:49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</row>
    <row r="151" spans="1:49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</row>
    <row r="152" spans="1:49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</row>
    <row r="153" spans="1:49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</row>
    <row r="154" spans="1:49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</row>
    <row r="155" spans="1:49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</row>
    <row r="156" spans="1:49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</row>
    <row r="157" spans="1:49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</row>
    <row r="158" spans="1:49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</row>
    <row r="159" spans="1:4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</row>
    <row r="160" spans="1:49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</row>
    <row r="161" spans="1:49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</row>
    <row r="162" spans="1:49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</row>
    <row r="163" spans="1:49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</row>
    <row r="164" spans="1:49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</row>
    <row r="165" spans="1:49"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</row>
    <row r="166" spans="1:49"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</row>
    <row r="167" spans="1:49"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</row>
    <row r="168" spans="1:49"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</row>
    <row r="169" spans="1:49"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</row>
    <row r="170" spans="1:49"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</row>
    <row r="171" spans="1:49"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</row>
    <row r="172" spans="1:49"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</row>
    <row r="173" spans="1:49"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</row>
    <row r="174" spans="1:49"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</row>
    <row r="175" spans="1:49"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</row>
    <row r="176" spans="1:49"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</row>
    <row r="177" spans="15:49"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</row>
    <row r="178" spans="15:49"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</row>
    <row r="179" spans="15:49"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</row>
    <row r="180" spans="15:49"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</row>
    <row r="181" spans="15:49"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</row>
    <row r="182" spans="15:49"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</row>
    <row r="183" spans="15:49"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</row>
    <row r="184" spans="15:49"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</row>
    <row r="185" spans="15:49"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</row>
    <row r="186" spans="15:49"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</row>
    <row r="187" spans="15:49"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</row>
    <row r="188" spans="15:49"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</row>
    <row r="189" spans="15:49"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</row>
    <row r="190" spans="15:49"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</row>
    <row r="191" spans="15:49"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</row>
    <row r="192" spans="15:49"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</row>
    <row r="193" spans="15:49"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</row>
    <row r="194" spans="15:49"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</row>
    <row r="195" spans="15:49"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</row>
    <row r="196" spans="15:49"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</row>
    <row r="197" spans="15:49"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</row>
    <row r="198" spans="15:49"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</row>
    <row r="199" spans="15:49"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</row>
    <row r="200" spans="15:49"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</row>
    <row r="201" spans="15:49"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</row>
    <row r="202" spans="15:49"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</row>
    <row r="203" spans="15:49"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</row>
    <row r="204" spans="15:49"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</row>
    <row r="205" spans="15:49"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</row>
    <row r="206" spans="15:49"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</row>
    <row r="207" spans="15:49"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</row>
    <row r="208" spans="15:49"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</row>
    <row r="209" spans="15:49"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</row>
    <row r="210" spans="15:49"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</row>
    <row r="211" spans="15:49"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</row>
    <row r="212" spans="15:49"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</row>
    <row r="213" spans="15:49"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</row>
    <row r="214" spans="15:49"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</row>
    <row r="215" spans="15:49"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</row>
    <row r="216" spans="15:49"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</row>
    <row r="217" spans="15:49"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</row>
    <row r="218" spans="15:49"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</row>
    <row r="219" spans="15:49"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</row>
    <row r="220" spans="15:49"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</row>
    <row r="221" spans="15:49"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</row>
    <row r="222" spans="15:49"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</row>
    <row r="223" spans="15:49"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</row>
    <row r="224" spans="15:49"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</row>
    <row r="225" spans="15:49"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</row>
    <row r="226" spans="15:49"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</row>
    <row r="227" spans="15:49"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</row>
    <row r="228" spans="15:49"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</row>
    <row r="229" spans="15:49"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</row>
    <row r="230" spans="15:49"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</row>
    <row r="231" spans="15:49"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</row>
    <row r="232" spans="15:49"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</row>
    <row r="233" spans="15:49"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</row>
    <row r="234" spans="15:49"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</row>
    <row r="235" spans="15:49"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</row>
    <row r="236" spans="15:49"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</row>
    <row r="237" spans="15:49"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</row>
    <row r="238" spans="15:49"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</row>
    <row r="239" spans="15:49"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</row>
    <row r="240" spans="15:49"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</row>
    <row r="241" spans="15:49"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</row>
    <row r="242" spans="15:49"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</row>
    <row r="243" spans="15:49"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</row>
    <row r="244" spans="15:49"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</row>
    <row r="245" spans="15:49"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</row>
    <row r="246" spans="15:49"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</row>
    <row r="247" spans="15:49"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</row>
    <row r="248" spans="15:49"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</row>
    <row r="249" spans="15:49"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</row>
    <row r="250" spans="15:49"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</row>
    <row r="251" spans="15:49"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</row>
    <row r="252" spans="15:49"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</row>
    <row r="253" spans="15:49"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</row>
    <row r="254" spans="15:49"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</row>
    <row r="255" spans="15:49"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</row>
    <row r="256" spans="15:49"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</row>
    <row r="257" spans="15:49"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</row>
    <row r="258" spans="15:49"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</row>
    <row r="259" spans="15:49"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</row>
    <row r="260" spans="15:49"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</row>
    <row r="261" spans="15:49"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</row>
    <row r="262" spans="15:49"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</row>
    <row r="263" spans="15:49"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</row>
    <row r="264" spans="15:49"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</row>
    <row r="265" spans="15:49"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</row>
    <row r="266" spans="15:49"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</row>
    <row r="267" spans="15:49"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</row>
    <row r="268" spans="15:49"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</row>
    <row r="269" spans="15:49"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</row>
    <row r="270" spans="15:49"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</row>
    <row r="271" spans="15:49"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</row>
    <row r="272" spans="15:49"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</row>
    <row r="273" spans="15:49"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</row>
    <row r="274" spans="15:49"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</row>
    <row r="275" spans="15:49"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</row>
    <row r="276" spans="15:49"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</row>
    <row r="277" spans="15:49"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</row>
    <row r="278" spans="15:49"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</row>
    <row r="279" spans="15:49"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</row>
    <row r="280" spans="15:49"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</row>
    <row r="281" spans="15:49"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</row>
    <row r="282" spans="15:49"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</row>
    <row r="283" spans="15:49"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</row>
    <row r="284" spans="15:49"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</row>
    <row r="285" spans="15:49"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</row>
    <row r="286" spans="15:49"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</row>
    <row r="287" spans="15:49"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</row>
    <row r="288" spans="15:49"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</row>
    <row r="289" spans="15:49"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</row>
    <row r="290" spans="15:49"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</row>
    <row r="291" spans="15:49"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</row>
    <row r="292" spans="15:49"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</row>
    <row r="293" spans="15:49"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</row>
    <row r="294" spans="15:49"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</row>
    <row r="295" spans="15:49"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</row>
    <row r="296" spans="15:49"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</row>
    <row r="297" spans="15:49"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</row>
    <row r="298" spans="15:49"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</row>
    <row r="299" spans="15:49"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</row>
    <row r="300" spans="15:49"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</row>
    <row r="301" spans="15:49"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</row>
    <row r="302" spans="15:49"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</row>
    <row r="303" spans="15:49"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</row>
    <row r="304" spans="15:49"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</row>
    <row r="305" spans="15:49"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</row>
    <row r="306" spans="15:49"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</row>
    <row r="307" spans="15:49"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</row>
    <row r="308" spans="15:49"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</row>
    <row r="309" spans="15:49"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</row>
    <row r="310" spans="15:49"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</row>
    <row r="311" spans="15:49"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</row>
    <row r="312" spans="15:49"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</row>
    <row r="313" spans="15:49"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</row>
    <row r="314" spans="15:49"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</row>
    <row r="315" spans="15:49"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</row>
    <row r="316" spans="15:49"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</row>
    <row r="317" spans="15:49"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</row>
    <row r="318" spans="15:49"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</row>
    <row r="319" spans="15:49"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</row>
    <row r="320" spans="15:49"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</row>
    <row r="321" spans="15:49"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</row>
    <row r="322" spans="15:49"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</row>
    <row r="323" spans="15:49"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</row>
    <row r="324" spans="15:49"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</row>
    <row r="325" spans="15:49"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</row>
    <row r="326" spans="15:49"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</row>
    <row r="327" spans="15:49"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</row>
    <row r="328" spans="15:49"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</row>
    <row r="329" spans="15:49"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</row>
    <row r="330" spans="15:49"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</row>
    <row r="331" spans="15:49"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</row>
    <row r="332" spans="15:49"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</row>
    <row r="333" spans="15:49"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</row>
    <row r="334" spans="15:49"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</row>
    <row r="335" spans="15:49"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</row>
    <row r="336" spans="15:49"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</row>
    <row r="337" spans="15:49"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</row>
    <row r="338" spans="15:49"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</row>
    <row r="339" spans="15:49"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</row>
    <row r="340" spans="15:49"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</row>
    <row r="341" spans="15:49"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</row>
    <row r="342" spans="15:49"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</row>
    <row r="343" spans="15:49"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</row>
    <row r="344" spans="15:49"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</row>
    <row r="345" spans="15:49"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</row>
    <row r="346" spans="15:49"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</row>
    <row r="347" spans="15:49"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</row>
    <row r="348" spans="15:49"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</row>
    <row r="349" spans="15:49"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</row>
    <row r="350" spans="15:49"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</row>
    <row r="351" spans="15:49"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</row>
    <row r="352" spans="15:49"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</row>
    <row r="353" spans="15:49"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</row>
    <row r="354" spans="15:49"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</row>
    <row r="355" spans="15:49"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</row>
    <row r="356" spans="15:49"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</row>
    <row r="357" spans="15:49"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</row>
    <row r="358" spans="15:49"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</row>
    <row r="359" spans="15:49"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</row>
    <row r="360" spans="15:49"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</row>
    <row r="361" spans="15:49"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</row>
    <row r="362" spans="15:49"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</row>
    <row r="363" spans="15:49"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</row>
    <row r="364" spans="15:49"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</row>
    <row r="365" spans="15:49"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</row>
    <row r="366" spans="15:49"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</row>
    <row r="367" spans="15:49"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</row>
    <row r="368" spans="15:49"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</row>
    <row r="369" spans="15:49"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</row>
    <row r="370" spans="15:49"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</row>
    <row r="371" spans="15:49"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</row>
    <row r="372" spans="15:49"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</row>
    <row r="373" spans="15:49"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</row>
    <row r="374" spans="15:49"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</row>
    <row r="375" spans="15:49"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</row>
    <row r="376" spans="15:49"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</row>
    <row r="377" spans="15:49"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</row>
    <row r="378" spans="15:49"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</row>
    <row r="379" spans="15:49"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</row>
    <row r="380" spans="15:49"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</row>
    <row r="381" spans="15:49"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</row>
    <row r="382" spans="15:49"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</row>
    <row r="383" spans="15:49"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</row>
    <row r="384" spans="15:49"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</row>
    <row r="385" spans="15:49"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</row>
    <row r="386" spans="15:49"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</row>
    <row r="387" spans="15:49"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</row>
    <row r="388" spans="15:49"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</row>
    <row r="389" spans="15:49"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</row>
    <row r="390" spans="15:49"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</row>
    <row r="391" spans="15:49"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</row>
    <row r="392" spans="15:49"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</row>
    <row r="393" spans="15:49"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</row>
    <row r="394" spans="15:49"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</row>
    <row r="395" spans="15:49"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</row>
    <row r="396" spans="15:49"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</row>
    <row r="397" spans="15:49"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</row>
    <row r="398" spans="15:49"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</row>
    <row r="399" spans="15:49"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</row>
    <row r="400" spans="15:49"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</row>
    <row r="401" spans="15:49"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</row>
    <row r="402" spans="15:49"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</row>
    <row r="403" spans="15:49"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</row>
    <row r="404" spans="15:49"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</row>
    <row r="405" spans="15:49"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</row>
    <row r="406" spans="15:49"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</row>
    <row r="407" spans="15:49"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</row>
    <row r="408" spans="15:49"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</row>
    <row r="409" spans="15:49"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</row>
    <row r="410" spans="15:49"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</row>
    <row r="411" spans="15:49"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</row>
    <row r="412" spans="15:49"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</row>
    <row r="413" spans="15:49"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</row>
    <row r="414" spans="15:49"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</row>
    <row r="415" spans="15:49"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</row>
    <row r="416" spans="15:49"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</row>
    <row r="417" spans="15:49"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</row>
    <row r="418" spans="15:49"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</row>
    <row r="419" spans="15:49"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</row>
    <row r="420" spans="15:49"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</row>
    <row r="421" spans="15:49"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</row>
    <row r="422" spans="15:49"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</row>
    <row r="423" spans="15:49"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</row>
    <row r="424" spans="15:49"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</row>
    <row r="425" spans="15:49"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</row>
    <row r="426" spans="15:49"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</row>
    <row r="427" spans="15:49"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</row>
    <row r="428" spans="15:49"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</row>
    <row r="429" spans="15:49"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</row>
    <row r="430" spans="15:49"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</row>
    <row r="431" spans="15:49"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</row>
    <row r="432" spans="15:49"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</row>
    <row r="433" spans="15:49"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</row>
    <row r="434" spans="15:49"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</row>
    <row r="435" spans="15:49"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</row>
    <row r="436" spans="15:49"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</row>
    <row r="437" spans="15:49"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</row>
    <row r="438" spans="15:49"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</row>
    <row r="439" spans="15:49"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</row>
    <row r="440" spans="15:49"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</row>
    <row r="441" spans="15:49"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</row>
    <row r="442" spans="15:49"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</row>
    <row r="443" spans="15:49"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</row>
    <row r="444" spans="15:49"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</row>
    <row r="445" spans="15:49"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</row>
    <row r="446" spans="15:49"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</row>
    <row r="447" spans="15:49"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</row>
    <row r="448" spans="15:49"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</row>
    <row r="449" spans="15:49"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</row>
    <row r="450" spans="15:49"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</row>
    <row r="451" spans="15:49"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</row>
    <row r="452" spans="15:49"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</row>
    <row r="453" spans="15:49"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</row>
    <row r="454" spans="15:49"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</row>
    <row r="455" spans="15:49"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</row>
    <row r="456" spans="15:49"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</row>
    <row r="457" spans="15:49"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</row>
    <row r="458" spans="15:49"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</row>
    <row r="459" spans="15:49"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</row>
    <row r="460" spans="15:49"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</row>
    <row r="461" spans="15:49"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</row>
    <row r="462" spans="15:49"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</row>
    <row r="463" spans="15:49"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</row>
    <row r="464" spans="15:49"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</row>
    <row r="465" spans="15:49"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</row>
    <row r="466" spans="15:49"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</row>
    <row r="467" spans="15:49"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</row>
    <row r="468" spans="15:49"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</row>
    <row r="469" spans="15:49"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</row>
    <row r="470" spans="15:49"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</row>
    <row r="471" spans="15:49"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</row>
    <row r="472" spans="15:49"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</row>
    <row r="473" spans="15:49"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</row>
    <row r="474" spans="15:49"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</row>
    <row r="475" spans="15:49"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</row>
    <row r="476" spans="15:49"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</row>
    <row r="477" spans="15:49"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</row>
    <row r="478" spans="15:49"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</row>
    <row r="479" spans="15:49"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</row>
    <row r="480" spans="15:49"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</row>
    <row r="481" spans="15:49"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</row>
    <row r="482" spans="15:49"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</row>
    <row r="483" spans="15:49"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</row>
    <row r="484" spans="15:49"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</row>
    <row r="485" spans="15:49"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</row>
    <row r="486" spans="15:49"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</row>
    <row r="487" spans="15:49"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</row>
    <row r="488" spans="15:49"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</row>
    <row r="489" spans="15:49"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</row>
    <row r="490" spans="15:49"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</row>
    <row r="491" spans="15:49"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</row>
    <row r="492" spans="15:49"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</row>
    <row r="493" spans="15:49"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</row>
    <row r="494" spans="15:49"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</row>
    <row r="495" spans="15:49"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</row>
    <row r="496" spans="15:49"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</row>
    <row r="497" spans="15:49"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</row>
    <row r="498" spans="15:49"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</row>
    <row r="499" spans="15:49"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</row>
    <row r="500" spans="15:49"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</row>
    <row r="501" spans="15:49"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</row>
    <row r="502" spans="15:49"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</row>
    <row r="503" spans="15:49"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</row>
    <row r="504" spans="15:49"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</row>
    <row r="505" spans="15:49"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</row>
    <row r="506" spans="15:49"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</row>
    <row r="507" spans="15:49"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</row>
    <row r="508" spans="15:49"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</row>
    <row r="509" spans="15:49"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</row>
    <row r="510" spans="15:49"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</row>
    <row r="511" spans="15:49"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</row>
    <row r="512" spans="15:49"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</row>
    <row r="513" spans="15:49"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</row>
    <row r="514" spans="15:49"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</row>
    <row r="515" spans="15:49"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</row>
    <row r="516" spans="15:49"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</row>
    <row r="517" spans="15:49"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</row>
    <row r="518" spans="15:49"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</row>
    <row r="519" spans="15:49"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</row>
    <row r="520" spans="15:49"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</row>
    <row r="521" spans="15:49"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</row>
    <row r="522" spans="15:49"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</row>
    <row r="523" spans="15:49"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</row>
    <row r="524" spans="15:49"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</row>
    <row r="525" spans="15:49"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</row>
    <row r="526" spans="15:49"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</row>
    <row r="527" spans="15:49"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</row>
    <row r="528" spans="15:49"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</row>
    <row r="529" spans="15:49"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</row>
    <row r="530" spans="15:49"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</row>
    <row r="531" spans="15:49"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</row>
    <row r="532" spans="15:49"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</row>
    <row r="533" spans="15:49"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</row>
    <row r="534" spans="15:49"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</row>
    <row r="535" spans="15:49"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</row>
    <row r="536" spans="15:49"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</row>
    <row r="537" spans="15:49"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</row>
    <row r="538" spans="15:49"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</row>
    <row r="539" spans="15:49"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</row>
    <row r="540" spans="15:49"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</row>
    <row r="541" spans="15:49"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</row>
    <row r="542" spans="15:49"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</row>
    <row r="543" spans="15:49"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</row>
    <row r="544" spans="15:49"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</row>
    <row r="545" spans="15:49"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</row>
    <row r="546" spans="15:49"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</row>
    <row r="547" spans="15:49"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</row>
    <row r="548" spans="15:49"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</row>
    <row r="549" spans="15:49"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</row>
    <row r="550" spans="15:49"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</row>
    <row r="551" spans="15:49"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</row>
    <row r="552" spans="15:49"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</row>
    <row r="553" spans="15:49"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</row>
    <row r="554" spans="15:49"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</row>
    <row r="555" spans="15:49"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</row>
    <row r="556" spans="15:49"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</row>
    <row r="557" spans="15:49"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</row>
    <row r="558" spans="15:49"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</row>
    <row r="559" spans="15:49"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</row>
    <row r="560" spans="15:49"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</row>
    <row r="561" spans="15:49"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</row>
    <row r="562" spans="15:49"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</row>
    <row r="563" spans="15:49"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</row>
    <row r="564" spans="15:49"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</row>
    <row r="565" spans="15:49"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</row>
    <row r="566" spans="15:49"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</row>
    <row r="567" spans="15:49"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</row>
    <row r="568" spans="15:49"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</row>
    <row r="569" spans="15:49"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</row>
    <row r="570" spans="15:49"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</row>
    <row r="571" spans="15:49"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</row>
    <row r="572" spans="15:49"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</row>
    <row r="573" spans="15:49"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</row>
    <row r="574" spans="15:49"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</row>
    <row r="575" spans="15:49"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</row>
    <row r="576" spans="15:49"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</row>
    <row r="577" spans="15:49"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</row>
    <row r="578" spans="15:49"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</row>
    <row r="579" spans="15:49"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</row>
    <row r="580" spans="15:49"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</row>
    <row r="581" spans="15:49"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</row>
    <row r="582" spans="15:49"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</row>
    <row r="583" spans="15:49"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</row>
    <row r="584" spans="15:49"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</row>
    <row r="585" spans="15:49"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</row>
    <row r="586" spans="15:49"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</row>
    <row r="587" spans="15:49"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</row>
    <row r="588" spans="15:49"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</row>
    <row r="589" spans="15:49"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</row>
    <row r="590" spans="15:49"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</row>
    <row r="591" spans="15:49"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</row>
    <row r="592" spans="15:49"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</row>
    <row r="593" spans="15:49"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</row>
    <row r="594" spans="15:49"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</row>
    <row r="595" spans="15:49"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</row>
    <row r="596" spans="15:49"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</row>
    <row r="597" spans="15:49"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</row>
    <row r="598" spans="15:49"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</row>
    <row r="599" spans="15:49"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</row>
    <row r="600" spans="15:49"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</row>
    <row r="601" spans="15:49"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</row>
    <row r="602" spans="15:49"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</row>
    <row r="603" spans="15:49"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</row>
    <row r="604" spans="15:49"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</row>
    <row r="605" spans="15:49"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</row>
    <row r="606" spans="15:49"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</row>
    <row r="607" spans="15:49"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</row>
    <row r="608" spans="15:49"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</row>
    <row r="609" spans="15:49"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</row>
    <row r="610" spans="15:49"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</row>
    <row r="611" spans="15:49"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</row>
    <row r="612" spans="15:49"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</row>
    <row r="613" spans="15:49"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</row>
    <row r="614" spans="15:49"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</row>
    <row r="615" spans="15:49"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</row>
    <row r="616" spans="15:49"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</row>
    <row r="617" spans="15:49"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</row>
    <row r="618" spans="15:49"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</row>
    <row r="619" spans="15:49"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</row>
    <row r="620" spans="15:49"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</row>
    <row r="621" spans="15:49"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</row>
    <row r="622" spans="15:49"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</row>
    <row r="623" spans="15:49"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</row>
    <row r="624" spans="15:49"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</row>
    <row r="625" spans="15:49"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</row>
    <row r="626" spans="15:49"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</row>
    <row r="627" spans="15:49"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</row>
    <row r="628" spans="15:49"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</row>
    <row r="629" spans="15:49"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</row>
    <row r="630" spans="15:49"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</row>
    <row r="631" spans="15:49"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</row>
    <row r="632" spans="15:49"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</row>
    <row r="633" spans="15:49"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</row>
    <row r="634" spans="15:49"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</row>
    <row r="635" spans="15:49"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</row>
    <row r="636" spans="15:49"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</row>
    <row r="637" spans="15:49"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</row>
    <row r="638" spans="15:49"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</row>
    <row r="639" spans="15:49"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</row>
    <row r="640" spans="15:49"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</row>
    <row r="641" spans="15:49"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</row>
    <row r="642" spans="15:49"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</row>
    <row r="643" spans="15:49"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</row>
    <row r="644" spans="15:49"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</row>
    <row r="645" spans="15:49"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</row>
    <row r="646" spans="15:49"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</row>
    <row r="647" spans="15:49"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</row>
    <row r="648" spans="15:49"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</row>
    <row r="649" spans="15:49"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</row>
    <row r="650" spans="15:49"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</row>
    <row r="651" spans="15:49"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</row>
    <row r="652" spans="15:49"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</row>
    <row r="653" spans="15:49"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</row>
    <row r="654" spans="15:49"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</row>
    <row r="655" spans="15:49"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</row>
    <row r="656" spans="15:49"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</row>
    <row r="657" spans="15:49"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</row>
    <row r="658" spans="15:49"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</row>
    <row r="659" spans="15:49"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</row>
    <row r="660" spans="15:49"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</row>
    <row r="661" spans="15:49"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</row>
    <row r="662" spans="15:49"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</row>
    <row r="663" spans="15:49"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</row>
    <row r="664" spans="15:49"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</row>
    <row r="665" spans="15:49"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</row>
    <row r="666" spans="15:49"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</row>
    <row r="667" spans="15:49"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</row>
    <row r="668" spans="15:49"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</row>
    <row r="669" spans="15:49"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</row>
    <row r="670" spans="15:49"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</row>
    <row r="671" spans="15:49"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</row>
    <row r="672" spans="15:49"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</row>
    <row r="673" spans="15:49"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</row>
    <row r="674" spans="15:49"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</row>
    <row r="675" spans="15:49"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</row>
    <row r="676" spans="15:49"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</row>
    <row r="677" spans="15:49"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</row>
    <row r="678" spans="15:49"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</row>
    <row r="679" spans="15:49"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</row>
    <row r="680" spans="15:49"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</row>
    <row r="681" spans="15:49"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</row>
    <row r="682" spans="15:49"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</row>
    <row r="683" spans="15:49"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</row>
    <row r="684" spans="15:49"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</row>
    <row r="685" spans="15:49"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</row>
    <row r="686" spans="15:49"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</row>
    <row r="687" spans="15:49"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</row>
    <row r="688" spans="15:49"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</row>
    <row r="689" spans="15:49"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</row>
    <row r="690" spans="15:49"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</row>
    <row r="691" spans="15:49"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</row>
    <row r="692" spans="15:49"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</row>
    <row r="693" spans="15:49"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</row>
    <row r="694" spans="15:49"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</row>
    <row r="695" spans="15:49"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</row>
    <row r="696" spans="15:49"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</row>
    <row r="697" spans="15:49"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</row>
    <row r="698" spans="15:49"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</row>
    <row r="699" spans="15:49"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</row>
    <row r="700" spans="15:49"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</row>
    <row r="701" spans="15:49"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</row>
    <row r="702" spans="15:49"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</row>
    <row r="703" spans="15:49"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</row>
    <row r="704" spans="15:49"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</row>
    <row r="705" spans="15:49"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</row>
    <row r="706" spans="15:49"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</row>
    <row r="707" spans="15:49"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</row>
    <row r="708" spans="15:49"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</row>
    <row r="709" spans="15:49"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</row>
    <row r="710" spans="15:49"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</row>
    <row r="711" spans="15:49"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</row>
    <row r="712" spans="15:49"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</row>
    <row r="713" spans="15:49"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</row>
    <row r="714" spans="15:49"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</row>
    <row r="715" spans="15:49"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</row>
    <row r="716" spans="15:49"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</row>
    <row r="717" spans="15:49"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</row>
    <row r="718" spans="15:49"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</row>
    <row r="719" spans="15:49"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</row>
    <row r="720" spans="15:49"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</row>
    <row r="721" spans="15:49"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</row>
    <row r="722" spans="15:49"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</row>
    <row r="723" spans="15:49"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</row>
    <row r="724" spans="15:49"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</row>
    <row r="725" spans="15:49"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</row>
    <row r="726" spans="15:49"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</row>
    <row r="727" spans="15:49"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</row>
    <row r="728" spans="15:49"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</row>
    <row r="729" spans="15:49"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</row>
    <row r="730" spans="15:49"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</row>
    <row r="731" spans="15:49"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</row>
    <row r="732" spans="15:49"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</row>
    <row r="733" spans="15:49"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</row>
    <row r="734" spans="15:49"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</row>
    <row r="735" spans="15:49"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</row>
    <row r="736" spans="15:49"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</row>
    <row r="737" spans="15:49"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</row>
    <row r="738" spans="15:49"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</row>
    <row r="739" spans="15:49"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</row>
    <row r="740" spans="15:49"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</row>
    <row r="741" spans="15:49"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</row>
    <row r="742" spans="15:49"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</row>
    <row r="743" spans="15:49"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</row>
    <row r="744" spans="15:49"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</row>
    <row r="745" spans="15:49"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</row>
    <row r="746" spans="15:49"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</row>
    <row r="747" spans="15:49"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</row>
    <row r="748" spans="15:49"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</row>
    <row r="749" spans="15:49"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</row>
    <row r="750" spans="15:49"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</row>
    <row r="751" spans="15:49"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</row>
    <row r="752" spans="15:49"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</row>
    <row r="753" spans="15:49"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</row>
    <row r="754" spans="15:49"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</row>
    <row r="755" spans="15:49"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</row>
    <row r="756" spans="15:49"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</row>
    <row r="757" spans="15:49"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</row>
    <row r="758" spans="15:49"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</row>
    <row r="759" spans="15:49"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</row>
    <row r="760" spans="15:49"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</row>
    <row r="761" spans="15:49"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</row>
    <row r="762" spans="15:49"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</row>
    <row r="763" spans="15:49"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</row>
    <row r="764" spans="15:49"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</row>
    <row r="765" spans="15:49"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</row>
    <row r="766" spans="15:49"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</row>
    <row r="767" spans="15:49"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</row>
    <row r="768" spans="15:49"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</row>
    <row r="769" spans="15:49"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</row>
    <row r="770" spans="15:49"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</row>
    <row r="771" spans="15:49"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</row>
    <row r="772" spans="15:49"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</row>
    <row r="773" spans="15:49"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</row>
    <row r="774" spans="15:49"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</row>
    <row r="775" spans="15:49"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</row>
    <row r="776" spans="15:49"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</row>
    <row r="777" spans="15:49"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</row>
    <row r="778" spans="15:49"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</row>
    <row r="779" spans="15:49"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</row>
    <row r="780" spans="15:49"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</row>
    <row r="781" spans="15:49"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</row>
    <row r="782" spans="15:49"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</row>
    <row r="783" spans="15:49"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</row>
    <row r="784" spans="15:49"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</row>
    <row r="785" spans="15:49"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</row>
    <row r="786" spans="15:49"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</row>
    <row r="787" spans="15:49"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</row>
    <row r="788" spans="15:49"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</row>
    <row r="789" spans="15:49"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</row>
    <row r="790" spans="15:49"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</row>
    <row r="791" spans="15:49"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</row>
    <row r="792" spans="15:49"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</row>
    <row r="793" spans="15:49"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</row>
    <row r="794" spans="15:49"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</row>
    <row r="795" spans="15:49"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</row>
    <row r="796" spans="15:49"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</row>
    <row r="797" spans="15:49"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</row>
    <row r="798" spans="15:49"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</row>
    <row r="799" spans="15:49"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</row>
    <row r="800" spans="15:49"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</row>
    <row r="801" spans="15:49"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</row>
    <row r="802" spans="15:49"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</row>
    <row r="803" spans="15:49"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</row>
    <row r="804" spans="15:49"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</row>
    <row r="805" spans="15:49"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</row>
    <row r="806" spans="15:49"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</row>
    <row r="807" spans="15:49"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</row>
    <row r="808" spans="15:49"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</row>
    <row r="809" spans="15:49"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</row>
    <row r="810" spans="15:49"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</row>
    <row r="811" spans="15:49"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</row>
    <row r="812" spans="15:49"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</row>
    <row r="813" spans="15:49"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</row>
    <row r="814" spans="15:49"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</row>
    <row r="815" spans="15:49"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</row>
    <row r="816" spans="15:49"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</row>
    <row r="817" spans="15:49"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</row>
    <row r="818" spans="15:49"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</row>
    <row r="819" spans="15:49"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</row>
    <row r="820" spans="15:49"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</row>
    <row r="821" spans="15:49"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</row>
    <row r="822" spans="15:49"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</row>
    <row r="823" spans="15:49"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</row>
    <row r="824" spans="15:49"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</row>
    <row r="825" spans="15:49"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</row>
    <row r="826" spans="15:49"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</row>
    <row r="827" spans="15:49"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</row>
    <row r="828" spans="15:49"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</row>
    <row r="829" spans="15:49"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</row>
    <row r="830" spans="15:49"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</row>
    <row r="831" spans="15:49"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</row>
    <row r="832" spans="15:49"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</row>
    <row r="833" spans="15:49"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</row>
    <row r="834" spans="15:49"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</row>
    <row r="835" spans="15:49"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</row>
    <row r="836" spans="15:49"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</row>
    <row r="837" spans="15:49"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</row>
    <row r="838" spans="15:49"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</row>
    <row r="839" spans="15:49"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</row>
    <row r="840" spans="15:49"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</row>
    <row r="841" spans="15:49"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</row>
    <row r="842" spans="15:49"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</row>
    <row r="843" spans="15:49"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</row>
    <row r="844" spans="15:49"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</row>
    <row r="845" spans="15:49"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</row>
    <row r="846" spans="15:49"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</row>
    <row r="847" spans="15:49"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</row>
    <row r="848" spans="15:49"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</row>
    <row r="849" spans="15:49"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</row>
    <row r="850" spans="15:49"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</row>
    <row r="851" spans="15:49"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</row>
    <row r="852" spans="15:49"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</row>
    <row r="853" spans="15:49"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</row>
    <row r="854" spans="15:49"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</row>
    <row r="855" spans="15:49"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</row>
    <row r="856" spans="15:49"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</row>
    <row r="857" spans="15:49"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</row>
  </sheetData>
  <mergeCells count="53">
    <mergeCell ref="E26:F26"/>
    <mergeCell ref="H26:I26"/>
    <mergeCell ref="M26:N26"/>
    <mergeCell ref="K27:N27"/>
    <mergeCell ref="E28:F28"/>
    <mergeCell ref="H28:I28"/>
    <mergeCell ref="K28:L28"/>
    <mergeCell ref="M28:N28"/>
    <mergeCell ref="H25:J25"/>
    <mergeCell ref="K25:N25"/>
    <mergeCell ref="C20:D20"/>
    <mergeCell ref="H20:I20"/>
    <mergeCell ref="K20:N20"/>
    <mergeCell ref="C21:D21"/>
    <mergeCell ref="E21:G21"/>
    <mergeCell ref="C22:D22"/>
    <mergeCell ref="E22:G22"/>
    <mergeCell ref="C23:D23"/>
    <mergeCell ref="E23:G23"/>
    <mergeCell ref="C24:D24"/>
    <mergeCell ref="E24:G24"/>
    <mergeCell ref="M24:N24"/>
    <mergeCell ref="A7:A9"/>
    <mergeCell ref="B7:B9"/>
    <mergeCell ref="C7:G7"/>
    <mergeCell ref="C25:D25"/>
    <mergeCell ref="E25:G25"/>
    <mergeCell ref="A17:D17"/>
    <mergeCell ref="K17:L17"/>
    <mergeCell ref="C19:D19"/>
    <mergeCell ref="H19:J19"/>
    <mergeCell ref="K19:N19"/>
    <mergeCell ref="H7:J7"/>
    <mergeCell ref="K7:L7"/>
    <mergeCell ref="M7:N7"/>
    <mergeCell ref="C8:C9"/>
    <mergeCell ref="D8:D9"/>
    <mergeCell ref="E8:E9"/>
    <mergeCell ref="F8:F9"/>
    <mergeCell ref="M8:M9"/>
    <mergeCell ref="N8:N9"/>
    <mergeCell ref="G8:G9"/>
    <mergeCell ref="H8:H9"/>
    <mergeCell ref="I8:I9"/>
    <mergeCell ref="J8:J9"/>
    <mergeCell ref="K8:K9"/>
    <mergeCell ref="L8:L9"/>
    <mergeCell ref="D1:J1"/>
    <mergeCell ref="G2:K2"/>
    <mergeCell ref="D3:J3"/>
    <mergeCell ref="H5:J5"/>
    <mergeCell ref="H6:J6"/>
    <mergeCell ref="K6:L6"/>
  </mergeCells>
  <pageMargins left="0.51180555555555496" right="0.51180555555555496" top="0.78749999999999998" bottom="0.78749999999999998" header="0.51180555555555496" footer="0.51180555555555496"/>
  <pageSetup paperSize="9" scale="4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C9BB-2DFF-457D-A9D1-61FE55D1BBA2}">
  <dimension ref="B2:Q81"/>
  <sheetViews>
    <sheetView topLeftCell="A67" workbookViewId="0">
      <selection activeCell="F77" sqref="F77"/>
    </sheetView>
  </sheetViews>
  <sheetFormatPr defaultRowHeight="15"/>
  <cols>
    <col min="2" max="2" width="11.42578125" bestFit="1" customWidth="1"/>
    <col min="5" max="5" width="11.42578125" bestFit="1" customWidth="1"/>
    <col min="6" max="6" width="9.7109375" customWidth="1"/>
    <col min="8" max="8" width="53.5703125" customWidth="1"/>
    <col min="9" max="9" width="19.42578125" bestFit="1" customWidth="1"/>
    <col min="11" max="11" width="12.5703125" customWidth="1"/>
    <col min="12" max="12" width="19" bestFit="1" customWidth="1"/>
    <col min="13" max="13" width="11.42578125" bestFit="1" customWidth="1"/>
    <col min="15" max="15" width="13.28515625" customWidth="1"/>
    <col min="16" max="16" width="62" bestFit="1" customWidth="1"/>
    <col min="17" max="17" width="31.140625" bestFit="1" customWidth="1"/>
  </cols>
  <sheetData>
    <row r="2" spans="2:6">
      <c r="B2" s="242" t="s">
        <v>68</v>
      </c>
      <c r="C2" s="243"/>
      <c r="D2" s="243"/>
      <c r="E2" s="243"/>
      <c r="F2" s="244"/>
    </row>
    <row r="3" spans="2:6">
      <c r="B3" s="127" t="s">
        <v>69</v>
      </c>
      <c r="C3" s="125" t="s">
        <v>69</v>
      </c>
      <c r="D3" s="125" t="s">
        <v>69</v>
      </c>
      <c r="E3" s="125" t="s">
        <v>69</v>
      </c>
      <c r="F3" s="128" t="s">
        <v>69</v>
      </c>
    </row>
    <row r="4" spans="2:6">
      <c r="B4" s="127" t="s">
        <v>69</v>
      </c>
      <c r="C4" s="126" t="s">
        <v>70</v>
      </c>
      <c r="D4" s="126" t="s">
        <v>71</v>
      </c>
      <c r="E4" s="126" t="s">
        <v>72</v>
      </c>
      <c r="F4" s="129" t="s">
        <v>73</v>
      </c>
    </row>
    <row r="5" spans="2:6">
      <c r="B5" s="130">
        <v>46056</v>
      </c>
      <c r="C5">
        <v>1</v>
      </c>
      <c r="D5" s="126"/>
      <c r="E5" s="126"/>
      <c r="F5" s="129"/>
    </row>
    <row r="6" spans="2:6">
      <c r="B6" s="130">
        <v>46057</v>
      </c>
      <c r="C6">
        <v>1</v>
      </c>
      <c r="D6" s="126"/>
      <c r="E6">
        <v>1</v>
      </c>
      <c r="F6" s="131">
        <v>3</v>
      </c>
    </row>
    <row r="7" spans="2:6">
      <c r="B7" s="130">
        <v>46058</v>
      </c>
      <c r="C7">
        <v>1</v>
      </c>
      <c r="D7" s="126"/>
      <c r="E7">
        <v>1</v>
      </c>
      <c r="F7" s="131">
        <v>4</v>
      </c>
    </row>
    <row r="8" spans="2:6">
      <c r="B8" s="130">
        <v>46059</v>
      </c>
      <c r="C8">
        <v>1</v>
      </c>
      <c r="D8" s="125" t="s">
        <v>69</v>
      </c>
      <c r="E8">
        <v>1</v>
      </c>
      <c r="F8" s="131">
        <v>6</v>
      </c>
    </row>
    <row r="9" spans="2:6">
      <c r="B9" s="130">
        <v>46062</v>
      </c>
      <c r="C9">
        <v>1</v>
      </c>
      <c r="D9" s="125" t="s">
        <v>69</v>
      </c>
      <c r="E9">
        <v>1</v>
      </c>
      <c r="F9" s="131">
        <v>4</v>
      </c>
    </row>
    <row r="10" spans="2:6">
      <c r="B10" s="130">
        <v>46063</v>
      </c>
      <c r="C10">
        <v>2</v>
      </c>
      <c r="D10" s="125" t="s">
        <v>69</v>
      </c>
      <c r="E10">
        <v>1</v>
      </c>
      <c r="F10" s="131">
        <v>5</v>
      </c>
    </row>
    <row r="11" spans="2:6">
      <c r="B11" s="130">
        <v>46064</v>
      </c>
      <c r="C11">
        <v>3</v>
      </c>
      <c r="D11" s="125" t="s">
        <v>69</v>
      </c>
      <c r="E11">
        <v>1</v>
      </c>
      <c r="F11" s="131">
        <v>12</v>
      </c>
    </row>
    <row r="12" spans="2:6">
      <c r="B12" s="130">
        <v>46065</v>
      </c>
      <c r="C12">
        <v>2</v>
      </c>
      <c r="D12" s="125" t="s">
        <v>69</v>
      </c>
      <c r="E12">
        <v>1</v>
      </c>
      <c r="F12" s="131">
        <v>10</v>
      </c>
    </row>
    <row r="13" spans="2:6">
      <c r="B13" s="130">
        <v>46066</v>
      </c>
      <c r="C13">
        <v>3</v>
      </c>
      <c r="D13" s="125" t="s">
        <v>69</v>
      </c>
      <c r="E13">
        <v>1</v>
      </c>
      <c r="F13" s="131">
        <v>12</v>
      </c>
    </row>
    <row r="14" spans="2:6">
      <c r="B14" s="130">
        <v>46069</v>
      </c>
      <c r="C14">
        <v>1</v>
      </c>
      <c r="D14" s="125" t="s">
        <v>69</v>
      </c>
      <c r="E14">
        <v>1</v>
      </c>
      <c r="F14" s="131"/>
    </row>
    <row r="15" spans="2:6">
      <c r="B15" s="130">
        <v>46070</v>
      </c>
      <c r="C15">
        <v>1</v>
      </c>
      <c r="D15" s="125" t="s">
        <v>69</v>
      </c>
      <c r="E15">
        <v>1</v>
      </c>
      <c r="F15" s="131">
        <v>1</v>
      </c>
    </row>
    <row r="16" spans="2:6">
      <c r="B16" s="130">
        <v>46071</v>
      </c>
      <c r="C16">
        <v>1</v>
      </c>
      <c r="D16" s="125" t="s">
        <v>69</v>
      </c>
      <c r="E16">
        <v>1</v>
      </c>
      <c r="F16" s="131">
        <v>7</v>
      </c>
    </row>
    <row r="17" spans="2:6">
      <c r="B17" s="130">
        <v>46072</v>
      </c>
      <c r="C17">
        <v>1</v>
      </c>
      <c r="D17" s="125" t="s">
        <v>69</v>
      </c>
      <c r="E17">
        <v>1</v>
      </c>
      <c r="F17" s="131">
        <v>4</v>
      </c>
    </row>
    <row r="18" spans="2:6">
      <c r="B18" s="130">
        <v>46073</v>
      </c>
      <c r="C18">
        <v>1</v>
      </c>
      <c r="D18" s="125" t="s">
        <v>69</v>
      </c>
      <c r="E18">
        <v>1</v>
      </c>
      <c r="F18" s="131">
        <v>10</v>
      </c>
    </row>
    <row r="19" spans="2:6">
      <c r="B19" s="132">
        <v>46076</v>
      </c>
      <c r="C19">
        <v>2</v>
      </c>
      <c r="D19" s="125"/>
      <c r="E19">
        <v>1</v>
      </c>
      <c r="F19" s="131">
        <v>6</v>
      </c>
    </row>
    <row r="20" spans="2:6">
      <c r="B20" s="133" t="s">
        <v>74</v>
      </c>
      <c r="C20" s="134">
        <f>SUM(C5:C19)</f>
        <v>22</v>
      </c>
      <c r="D20" s="134">
        <f>SUM(D5:D19)</f>
        <v>0</v>
      </c>
      <c r="E20" s="134">
        <f>SUM(E5:E19)</f>
        <v>14</v>
      </c>
      <c r="F20" s="135">
        <f>SUM(F5:F19)</f>
        <v>84</v>
      </c>
    </row>
    <row r="22" spans="2:6">
      <c r="B22" s="242" t="s">
        <v>75</v>
      </c>
      <c r="C22" s="243"/>
      <c r="D22" s="243"/>
      <c r="E22" s="243"/>
      <c r="F22" s="244"/>
    </row>
    <row r="23" spans="2:6">
      <c r="B23" s="127" t="s">
        <v>69</v>
      </c>
      <c r="C23" s="125" t="s">
        <v>69</v>
      </c>
      <c r="D23" s="125" t="s">
        <v>69</v>
      </c>
      <c r="E23" s="125" t="s">
        <v>69</v>
      </c>
      <c r="F23" s="128" t="s">
        <v>69</v>
      </c>
    </row>
    <row r="24" spans="2:6">
      <c r="B24" s="127" t="s">
        <v>69</v>
      </c>
      <c r="C24" s="126" t="s">
        <v>70</v>
      </c>
      <c r="D24" s="126" t="s">
        <v>71</v>
      </c>
      <c r="E24" s="126" t="s">
        <v>72</v>
      </c>
      <c r="F24" s="129" t="s">
        <v>73</v>
      </c>
    </row>
    <row r="25" spans="2:6">
      <c r="B25" s="130">
        <v>46077</v>
      </c>
      <c r="C25" s="126">
        <v>1</v>
      </c>
      <c r="D25" s="126"/>
      <c r="E25" s="126">
        <v>1</v>
      </c>
      <c r="F25" s="129">
        <v>10</v>
      </c>
    </row>
    <row r="26" spans="2:6">
      <c r="B26" s="130">
        <v>46078</v>
      </c>
      <c r="C26" s="126">
        <v>2</v>
      </c>
      <c r="D26" s="126"/>
      <c r="E26" s="126">
        <v>1</v>
      </c>
      <c r="F26" s="129">
        <v>9</v>
      </c>
    </row>
    <row r="27" spans="2:6">
      <c r="B27" s="130">
        <v>46079</v>
      </c>
      <c r="C27" s="126"/>
      <c r="D27" s="126"/>
      <c r="E27" s="126">
        <v>1</v>
      </c>
      <c r="F27" s="129">
        <v>7</v>
      </c>
    </row>
    <row r="28" spans="2:6">
      <c r="B28" s="130">
        <v>46080</v>
      </c>
      <c r="C28" s="125">
        <v>2</v>
      </c>
      <c r="D28" s="125"/>
      <c r="E28" s="125">
        <v>1</v>
      </c>
      <c r="F28" s="128">
        <v>6</v>
      </c>
    </row>
    <row r="29" spans="2:6">
      <c r="B29" s="130">
        <v>46083</v>
      </c>
      <c r="C29" s="125">
        <v>1</v>
      </c>
      <c r="D29" s="125"/>
      <c r="E29" s="125">
        <v>1</v>
      </c>
      <c r="F29" s="128">
        <v>7</v>
      </c>
    </row>
    <row r="30" spans="2:6">
      <c r="B30" s="130">
        <v>46084</v>
      </c>
      <c r="C30" s="125">
        <v>1</v>
      </c>
      <c r="D30" s="125"/>
      <c r="E30" s="125">
        <v>1</v>
      </c>
      <c r="F30" s="128">
        <v>8</v>
      </c>
    </row>
    <row r="31" spans="2:6">
      <c r="B31" s="130">
        <v>46085</v>
      </c>
      <c r="C31" s="125">
        <v>1</v>
      </c>
      <c r="D31" s="125"/>
      <c r="E31" s="125">
        <v>1</v>
      </c>
      <c r="F31" s="128">
        <v>5</v>
      </c>
    </row>
    <row r="32" spans="2:6">
      <c r="B32" s="130">
        <v>46086</v>
      </c>
      <c r="C32" s="125">
        <v>1</v>
      </c>
      <c r="D32" s="125"/>
      <c r="E32" s="125">
        <v>1</v>
      </c>
      <c r="F32" s="128">
        <v>7</v>
      </c>
    </row>
    <row r="33" spans="2:6">
      <c r="B33" s="130">
        <v>46087</v>
      </c>
      <c r="C33" s="125">
        <v>2</v>
      </c>
      <c r="D33" s="125"/>
      <c r="E33" s="125">
        <v>1</v>
      </c>
      <c r="F33" s="128">
        <v>7</v>
      </c>
    </row>
    <row r="34" spans="2:6">
      <c r="B34" s="133" t="s">
        <v>74</v>
      </c>
      <c r="C34" s="134">
        <f>SUM(C25:C33)</f>
        <v>11</v>
      </c>
      <c r="D34" s="134">
        <f>SUM(D25:D33)</f>
        <v>0</v>
      </c>
      <c r="E34" s="134">
        <f>SUM(E25:E33)</f>
        <v>9</v>
      </c>
      <c r="F34" s="135">
        <f>SUM(F25:F33)</f>
        <v>66</v>
      </c>
    </row>
    <row r="36" spans="2:6">
      <c r="B36" s="242" t="s">
        <v>76</v>
      </c>
      <c r="C36" s="243"/>
      <c r="D36" s="243"/>
      <c r="E36" s="243"/>
      <c r="F36" s="244"/>
    </row>
    <row r="37" spans="2:6">
      <c r="B37" s="127" t="s">
        <v>69</v>
      </c>
      <c r="C37" s="125" t="s">
        <v>69</v>
      </c>
      <c r="D37" s="125" t="s">
        <v>69</v>
      </c>
      <c r="E37" s="125" t="s">
        <v>69</v>
      </c>
      <c r="F37" s="128" t="s">
        <v>69</v>
      </c>
    </row>
    <row r="38" spans="2:6">
      <c r="B38" s="127" t="s">
        <v>69</v>
      </c>
      <c r="C38" s="126" t="s">
        <v>70</v>
      </c>
      <c r="D38" s="126" t="s">
        <v>71</v>
      </c>
      <c r="E38" s="126" t="s">
        <v>72</v>
      </c>
      <c r="F38" s="129" t="s">
        <v>73</v>
      </c>
    </row>
    <row r="39" spans="2:6">
      <c r="B39" s="130">
        <v>46090</v>
      </c>
      <c r="C39" s="126">
        <v>1</v>
      </c>
      <c r="D39" s="126"/>
      <c r="E39" s="126">
        <v>1</v>
      </c>
      <c r="F39" s="129">
        <v>6</v>
      </c>
    </row>
    <row r="40" spans="2:6">
      <c r="B40" s="130">
        <v>46091</v>
      </c>
      <c r="C40" s="125">
        <v>1</v>
      </c>
      <c r="D40" s="125"/>
      <c r="E40" s="125">
        <v>1</v>
      </c>
      <c r="F40" s="128">
        <v>6</v>
      </c>
    </row>
    <row r="41" spans="2:6">
      <c r="B41" s="130">
        <v>46092</v>
      </c>
      <c r="C41" s="125">
        <v>2</v>
      </c>
      <c r="D41" s="125"/>
      <c r="E41" s="125">
        <v>1</v>
      </c>
      <c r="F41" s="128">
        <v>6</v>
      </c>
    </row>
    <row r="42" spans="2:6">
      <c r="B42" s="130">
        <v>46093</v>
      </c>
      <c r="C42" s="125">
        <v>1</v>
      </c>
      <c r="D42" s="125"/>
      <c r="E42" s="125">
        <v>1</v>
      </c>
      <c r="F42" s="128">
        <v>6</v>
      </c>
    </row>
    <row r="43" spans="2:6">
      <c r="B43" s="130">
        <v>46094</v>
      </c>
      <c r="C43" s="125">
        <v>2</v>
      </c>
      <c r="D43" s="125"/>
      <c r="E43" s="125">
        <v>1</v>
      </c>
      <c r="F43" s="128">
        <v>7</v>
      </c>
    </row>
    <row r="44" spans="2:6">
      <c r="B44" s="130">
        <v>46097</v>
      </c>
      <c r="C44" s="138">
        <v>2</v>
      </c>
      <c r="D44" s="138"/>
      <c r="E44" s="138">
        <v>1</v>
      </c>
      <c r="F44" s="131">
        <v>7</v>
      </c>
    </row>
    <row r="45" spans="2:6">
      <c r="B45" s="130">
        <v>46098</v>
      </c>
      <c r="C45" s="138">
        <v>2</v>
      </c>
      <c r="D45" s="138"/>
      <c r="E45" s="138">
        <v>1</v>
      </c>
      <c r="F45" s="131">
        <v>6</v>
      </c>
    </row>
    <row r="46" spans="2:6">
      <c r="B46" s="130">
        <v>46099</v>
      </c>
      <c r="C46" s="138">
        <v>1</v>
      </c>
      <c r="D46" s="138"/>
      <c r="E46" s="138">
        <v>1</v>
      </c>
      <c r="F46" s="131">
        <v>7</v>
      </c>
    </row>
    <row r="47" spans="2:6">
      <c r="B47" s="130">
        <v>46100</v>
      </c>
      <c r="C47" s="138">
        <v>1</v>
      </c>
      <c r="D47" s="138"/>
      <c r="E47" s="138">
        <v>1</v>
      </c>
      <c r="F47" s="131">
        <v>4</v>
      </c>
    </row>
    <row r="48" spans="2:6">
      <c r="B48" s="130">
        <v>46101</v>
      </c>
      <c r="C48" s="138">
        <v>1</v>
      </c>
      <c r="D48" s="138"/>
      <c r="E48" s="138">
        <v>1</v>
      </c>
      <c r="F48" s="131">
        <v>3</v>
      </c>
    </row>
    <row r="49" spans="2:17">
      <c r="B49" s="130">
        <v>46104</v>
      </c>
      <c r="C49" s="138">
        <v>1</v>
      </c>
      <c r="D49" s="138"/>
      <c r="E49" s="138">
        <v>1</v>
      </c>
      <c r="F49" s="131">
        <v>5</v>
      </c>
    </row>
    <row r="50" spans="2:17">
      <c r="B50" s="133" t="s">
        <v>74</v>
      </c>
      <c r="C50" s="134">
        <f>SUM(C39:C49)</f>
        <v>15</v>
      </c>
      <c r="D50" s="134">
        <f>SUM(D39:D43)</f>
        <v>0</v>
      </c>
      <c r="E50" s="134">
        <f>SUM(E39:E49)</f>
        <v>11</v>
      </c>
      <c r="F50" s="135">
        <f>SUM(F39:F49)</f>
        <v>63</v>
      </c>
    </row>
    <row r="51" spans="2:17">
      <c r="B51" s="137"/>
    </row>
    <row r="52" spans="2:17">
      <c r="B52" s="163" t="s">
        <v>77</v>
      </c>
      <c r="C52" s="164"/>
      <c r="D52" s="164"/>
      <c r="E52" s="164"/>
      <c r="F52" s="165"/>
      <c r="H52" s="238" t="s">
        <v>78</v>
      </c>
      <c r="I52" s="239"/>
      <c r="J52" s="240"/>
    </row>
    <row r="53" spans="2:17">
      <c r="B53" s="127" t="s">
        <v>69</v>
      </c>
      <c r="C53" s="125" t="s">
        <v>69</v>
      </c>
      <c r="D53" s="125" t="s">
        <v>69</v>
      </c>
      <c r="E53" s="125" t="s">
        <v>69</v>
      </c>
      <c r="F53" s="128" t="s">
        <v>69</v>
      </c>
      <c r="H53" s="153" t="s">
        <v>79</v>
      </c>
      <c r="I53" s="151" t="s">
        <v>80</v>
      </c>
      <c r="J53" s="131" t="s">
        <v>54</v>
      </c>
    </row>
    <row r="54" spans="2:17" ht="15" customHeight="1">
      <c r="B54" s="127" t="s">
        <v>69</v>
      </c>
      <c r="C54" s="160" t="s">
        <v>70</v>
      </c>
      <c r="D54" s="160" t="s">
        <v>71</v>
      </c>
      <c r="E54" s="160" t="s">
        <v>72</v>
      </c>
      <c r="F54" s="161" t="s">
        <v>73</v>
      </c>
      <c r="H54" s="154" t="s">
        <v>81</v>
      </c>
      <c r="I54" s="155" t="s">
        <v>53</v>
      </c>
      <c r="J54" s="156">
        <f>(9.94*3)</f>
        <v>29.82</v>
      </c>
    </row>
    <row r="55" spans="2:17" ht="15" customHeight="1">
      <c r="B55" s="130">
        <v>46105</v>
      </c>
      <c r="C55" s="126">
        <v>2</v>
      </c>
      <c r="D55" s="126"/>
      <c r="E55" s="126">
        <v>2</v>
      </c>
      <c r="F55" s="129">
        <v>4.5</v>
      </c>
      <c r="H55" s="142" t="s">
        <v>81</v>
      </c>
      <c r="I55" s="141" t="s">
        <v>55</v>
      </c>
      <c r="J55" s="146">
        <f>(1.05*9.94/2)</f>
        <v>5.2184999999999997</v>
      </c>
      <c r="L55" s="148" t="s">
        <v>53</v>
      </c>
      <c r="M55" s="158">
        <f>J54+J58+J59</f>
        <v>108.54320000000001</v>
      </c>
      <c r="O55" s="167" t="s">
        <v>82</v>
      </c>
      <c r="P55" s="168" t="s">
        <v>79</v>
      </c>
      <c r="Q55" s="169" t="s">
        <v>80</v>
      </c>
    </row>
    <row r="56" spans="2:17" ht="15" customHeight="1">
      <c r="B56" s="130">
        <v>46106</v>
      </c>
      <c r="C56" s="125">
        <v>2</v>
      </c>
      <c r="D56" s="125"/>
      <c r="E56" s="125">
        <v>2</v>
      </c>
      <c r="F56" s="128">
        <v>3.5</v>
      </c>
      <c r="H56" s="142" t="s">
        <v>83</v>
      </c>
      <c r="I56" s="141" t="s">
        <v>56</v>
      </c>
      <c r="J56" s="146">
        <f>12.2*1.05</f>
        <v>12.81</v>
      </c>
      <c r="L56" s="150" t="s">
        <v>55</v>
      </c>
      <c r="M56" s="159">
        <f>J55+J57</f>
        <v>11.419499999999999</v>
      </c>
      <c r="O56" s="170" t="s">
        <v>84</v>
      </c>
      <c r="P56" s="166" t="str">
        <f>H58</f>
        <v>LAJE TECNICA ATRAS DO ANTIGO TELHADO NA ENTRADA PRINCIPAL</v>
      </c>
      <c r="Q56" s="171" t="s">
        <v>85</v>
      </c>
    </row>
    <row r="57" spans="2:17" ht="15" customHeight="1">
      <c r="B57" s="130">
        <v>46107</v>
      </c>
      <c r="C57" s="125">
        <v>2</v>
      </c>
      <c r="D57" s="125"/>
      <c r="E57" s="125">
        <v>2</v>
      </c>
      <c r="F57" s="128">
        <v>2.5</v>
      </c>
      <c r="H57" s="142" t="s">
        <v>83</v>
      </c>
      <c r="I57" s="141" t="s">
        <v>55</v>
      </c>
      <c r="J57" s="146">
        <f>(1.3*4.77)</f>
        <v>6.2009999999999996</v>
      </c>
      <c r="L57" s="149" t="s">
        <v>56</v>
      </c>
      <c r="M57" s="162">
        <f>J56+J62</f>
        <v>18.028500000000001</v>
      </c>
      <c r="O57" s="170" t="s">
        <v>84</v>
      </c>
      <c r="P57" s="166" t="str">
        <f>H59</f>
        <v>LAJE TECNICA ALIMA DO ALMOXARIFADO</v>
      </c>
      <c r="Q57" s="171" t="s">
        <v>53</v>
      </c>
    </row>
    <row r="58" spans="2:17" ht="25.5" customHeight="1">
      <c r="B58" s="130">
        <v>46108</v>
      </c>
      <c r="C58" s="125">
        <v>2</v>
      </c>
      <c r="D58" s="125"/>
      <c r="E58" s="125">
        <v>2</v>
      </c>
      <c r="F58" s="128">
        <v>4.5</v>
      </c>
      <c r="H58" s="142" t="s">
        <v>86</v>
      </c>
      <c r="I58" s="141" t="s">
        <v>53</v>
      </c>
      <c r="J58" s="146">
        <f>(15.4*3.6)</f>
        <v>55.440000000000005</v>
      </c>
      <c r="L58" s="152" t="s">
        <v>57</v>
      </c>
      <c r="M58" s="145">
        <f>J60+J61+J63+J64+J65</f>
        <v>119.48570000000001</v>
      </c>
      <c r="O58" s="170" t="s">
        <v>87</v>
      </c>
      <c r="P58" s="166" t="str">
        <f>H58</f>
        <v>LAJE TECNICA ATRAS DO ANTIGO TELHADO NA ENTRADA PRINCIPAL</v>
      </c>
      <c r="Q58" s="171" t="s">
        <v>57</v>
      </c>
    </row>
    <row r="59" spans="2:17" ht="15" customHeight="1">
      <c r="B59" s="130">
        <v>46111</v>
      </c>
      <c r="C59" s="125">
        <v>1</v>
      </c>
      <c r="D59" s="125"/>
      <c r="E59" s="125">
        <v>2</v>
      </c>
      <c r="F59" s="128">
        <v>5.5</v>
      </c>
      <c r="H59" s="142" t="s">
        <v>88</v>
      </c>
      <c r="I59" s="141" t="s">
        <v>53</v>
      </c>
      <c r="J59" s="146">
        <f>(10.88*4.28/2)</f>
        <v>23.283200000000004</v>
      </c>
      <c r="O59" s="170" t="s">
        <v>84</v>
      </c>
      <c r="P59" s="166" t="str">
        <f>H55</f>
        <v>LAJE TECNICA LATERAL DO CLOSET S.M</v>
      </c>
      <c r="Q59" s="171" t="s">
        <v>89</v>
      </c>
    </row>
    <row r="60" spans="2:17">
      <c r="B60" s="130">
        <v>46112</v>
      </c>
      <c r="C60" s="138">
        <v>2</v>
      </c>
      <c r="D60" s="138"/>
      <c r="E60" s="138">
        <v>2</v>
      </c>
      <c r="F60" s="131">
        <v>4.5</v>
      </c>
      <c r="H60" s="142" t="s">
        <v>81</v>
      </c>
      <c r="I60" s="141" t="s">
        <v>57</v>
      </c>
      <c r="J60" s="146">
        <f>(9.94*3)</f>
        <v>29.82</v>
      </c>
      <c r="O60" s="170" t="s">
        <v>90</v>
      </c>
      <c r="P60" s="166" t="str">
        <f>H55</f>
        <v>LAJE TECNICA LATERAL DO CLOSET S.M</v>
      </c>
      <c r="Q60" s="171" t="s">
        <v>55</v>
      </c>
    </row>
    <row r="61" spans="2:17">
      <c r="B61" s="130">
        <v>46113</v>
      </c>
      <c r="C61" s="138">
        <v>2</v>
      </c>
      <c r="D61" s="138"/>
      <c r="E61" s="138">
        <v>2</v>
      </c>
      <c r="F61" s="131">
        <v>2.5</v>
      </c>
      <c r="H61" s="142" t="s">
        <v>81</v>
      </c>
      <c r="I61" s="141" t="s">
        <v>57</v>
      </c>
      <c r="J61" s="146">
        <f t="shared" ref="J61:J62" si="0">(1.05*9.94/2)</f>
        <v>5.2184999999999997</v>
      </c>
      <c r="O61" s="172" t="s">
        <v>87</v>
      </c>
      <c r="P61" s="173" t="str">
        <f>H63</f>
        <v>LAJE TECNICA PARTE FRONTAL DO JARDIM DO CLOSET</v>
      </c>
      <c r="Q61" s="174" t="s">
        <v>57</v>
      </c>
    </row>
    <row r="62" spans="2:17">
      <c r="B62" s="130">
        <v>46114</v>
      </c>
      <c r="C62" s="138">
        <v>1</v>
      </c>
      <c r="D62" s="138"/>
      <c r="E62" s="138">
        <v>2</v>
      </c>
      <c r="F62" s="131">
        <v>8.5</v>
      </c>
      <c r="H62" s="142" t="s">
        <v>81</v>
      </c>
      <c r="I62" s="141" t="s">
        <v>56</v>
      </c>
      <c r="J62" s="146">
        <f t="shared" si="0"/>
        <v>5.2184999999999997</v>
      </c>
    </row>
    <row r="63" spans="2:17">
      <c r="B63" s="130">
        <v>46118</v>
      </c>
      <c r="C63" s="138">
        <v>2</v>
      </c>
      <c r="D63" s="138"/>
      <c r="E63" s="138">
        <v>2</v>
      </c>
      <c r="F63" s="131">
        <v>6.5</v>
      </c>
      <c r="H63" s="142" t="s">
        <v>83</v>
      </c>
      <c r="I63" s="141" t="s">
        <v>57</v>
      </c>
      <c r="J63" s="146">
        <f>(1.2*4.77)</f>
        <v>5.7239999999999993</v>
      </c>
    </row>
    <row r="64" spans="2:17" ht="30.75">
      <c r="B64" s="130">
        <v>46119</v>
      </c>
      <c r="C64" s="138">
        <v>2</v>
      </c>
      <c r="D64" s="138"/>
      <c r="E64" s="138">
        <v>2</v>
      </c>
      <c r="F64" s="131">
        <v>7.5</v>
      </c>
      <c r="H64" s="142" t="s">
        <v>86</v>
      </c>
      <c r="I64" s="141" t="s">
        <v>57</v>
      </c>
      <c r="J64" s="146">
        <f>(15.4*3.6)</f>
        <v>55.440000000000005</v>
      </c>
    </row>
    <row r="65" spans="2:17">
      <c r="B65" s="133" t="s">
        <v>74</v>
      </c>
      <c r="C65" s="134">
        <f>SUM(C55:C64)</f>
        <v>18</v>
      </c>
      <c r="D65" s="134">
        <f>SUM(D55:D59)</f>
        <v>0</v>
      </c>
      <c r="E65" s="134">
        <f>SUM(E55:E64)</f>
        <v>20</v>
      </c>
      <c r="F65" s="135">
        <f>SUM(F55:F64)</f>
        <v>50</v>
      </c>
      <c r="H65" s="143" t="s">
        <v>88</v>
      </c>
      <c r="I65" s="144" t="s">
        <v>57</v>
      </c>
      <c r="J65" s="147">
        <f>(10.88*4.28/2)</f>
        <v>23.283200000000004</v>
      </c>
    </row>
    <row r="66" spans="2:17">
      <c r="H66" s="139"/>
      <c r="I66" s="140"/>
      <c r="J66" s="140"/>
    </row>
    <row r="67" spans="2:17">
      <c r="H67" s="139"/>
      <c r="I67" s="140"/>
      <c r="J67" s="140"/>
    </row>
    <row r="68" spans="2:17">
      <c r="B68" s="163" t="s">
        <v>91</v>
      </c>
      <c r="C68" s="164"/>
      <c r="D68" s="164"/>
      <c r="E68" s="164"/>
      <c r="F68" s="165"/>
      <c r="H68" s="238" t="s">
        <v>92</v>
      </c>
      <c r="I68" s="241"/>
      <c r="J68" s="240"/>
    </row>
    <row r="69" spans="2:17">
      <c r="B69" s="127" t="s">
        <v>69</v>
      </c>
      <c r="C69" s="125" t="s">
        <v>69</v>
      </c>
      <c r="D69" s="125" t="s">
        <v>69</v>
      </c>
      <c r="E69" s="125" t="s">
        <v>69</v>
      </c>
      <c r="F69" s="128" t="s">
        <v>69</v>
      </c>
      <c r="H69" s="153" t="s">
        <v>79</v>
      </c>
      <c r="I69" s="145" t="s">
        <v>80</v>
      </c>
      <c r="J69" s="131" t="s">
        <v>54</v>
      </c>
    </row>
    <row r="70" spans="2:17">
      <c r="B70" s="127" t="s">
        <v>69</v>
      </c>
      <c r="C70" s="160" t="s">
        <v>70</v>
      </c>
      <c r="D70" s="160" t="s">
        <v>71</v>
      </c>
      <c r="E70" s="160" t="s">
        <v>72</v>
      </c>
      <c r="F70" s="161" t="s">
        <v>73</v>
      </c>
      <c r="H70" s="154" t="s">
        <v>93</v>
      </c>
      <c r="I70" s="140" t="s">
        <v>94</v>
      </c>
      <c r="J70" s="156">
        <f>0.67*4.67</f>
        <v>3.1289000000000002</v>
      </c>
    </row>
    <row r="71" spans="2:17" ht="30.75">
      <c r="B71" s="130">
        <v>46120</v>
      </c>
      <c r="C71" s="126">
        <v>2</v>
      </c>
      <c r="D71" s="126"/>
      <c r="E71" s="126">
        <v>2</v>
      </c>
      <c r="F71" s="129">
        <v>8</v>
      </c>
      <c r="H71" s="142" t="s">
        <v>95</v>
      </c>
      <c r="I71" s="141" t="s">
        <v>96</v>
      </c>
      <c r="J71" s="146">
        <f>(2.84)+(2.84)+(2.8)</f>
        <v>8.48</v>
      </c>
      <c r="L71" s="148" t="s">
        <v>97</v>
      </c>
      <c r="M71" s="158">
        <f>J70</f>
        <v>3.1289000000000002</v>
      </c>
      <c r="O71" s="181" t="s">
        <v>82</v>
      </c>
      <c r="P71" s="180" t="s">
        <v>79</v>
      </c>
      <c r="Q71" s="182" t="s">
        <v>80</v>
      </c>
    </row>
    <row r="72" spans="2:17">
      <c r="B72" s="130">
        <v>46121</v>
      </c>
      <c r="C72" s="125">
        <v>1</v>
      </c>
      <c r="D72" s="125"/>
      <c r="E72" s="125">
        <v>2</v>
      </c>
      <c r="F72" s="128">
        <v>8</v>
      </c>
      <c r="H72" s="142" t="s">
        <v>98</v>
      </c>
      <c r="I72" s="141" t="s">
        <v>56</v>
      </c>
      <c r="J72" s="146">
        <f>(1.38*0.4)+(1.18*0.4)+(1.2*0.4)+(1.2*0.35)</f>
        <v>1.9239999999999999</v>
      </c>
      <c r="L72" s="150" t="s">
        <v>65</v>
      </c>
      <c r="M72" s="159">
        <f>J71+J76+J77+J78</f>
        <v>29.759999999999998</v>
      </c>
      <c r="O72" s="183" t="s">
        <v>90</v>
      </c>
      <c r="P72" s="178" t="s">
        <v>93</v>
      </c>
      <c r="Q72" s="179" t="s">
        <v>94</v>
      </c>
    </row>
    <row r="73" spans="2:17">
      <c r="B73" s="130">
        <v>46122</v>
      </c>
      <c r="C73" s="125">
        <v>2</v>
      </c>
      <c r="D73" s="125"/>
      <c r="E73" s="125">
        <v>2</v>
      </c>
      <c r="F73" s="128">
        <v>10</v>
      </c>
      <c r="H73" s="142" t="s">
        <v>99</v>
      </c>
      <c r="I73" s="141" t="s">
        <v>56</v>
      </c>
      <c r="J73" s="146">
        <f>(3.03*4.4)</f>
        <v>13.332000000000001</v>
      </c>
      <c r="L73" s="149" t="s">
        <v>56</v>
      </c>
      <c r="M73" s="162">
        <f>J72+J73+J74</f>
        <v>130.4204</v>
      </c>
      <c r="O73" s="184" t="s">
        <v>84</v>
      </c>
      <c r="P73" s="176" t="s">
        <v>95</v>
      </c>
      <c r="Q73" s="146" t="s">
        <v>96</v>
      </c>
    </row>
    <row r="74" spans="2:17" ht="30.75">
      <c r="B74" s="130">
        <v>46125</v>
      </c>
      <c r="C74" s="125">
        <v>3</v>
      </c>
      <c r="D74" s="125"/>
      <c r="E74" s="125">
        <v>2</v>
      </c>
      <c r="F74" s="128">
        <v>8</v>
      </c>
      <c r="H74" s="142" t="s">
        <v>100</v>
      </c>
      <c r="I74" s="141" t="s">
        <v>56</v>
      </c>
      <c r="J74" s="146">
        <f>(1.8*3.03)+(1.95*3.03)+(2.7*3.03)+(5.8*3.03)+(5.79*3.03)+(10.88*3.2)+(2.92*3.08)+(3.08*5.42)</f>
        <v>115.1644</v>
      </c>
      <c r="L74" s="186" t="s">
        <v>64</v>
      </c>
      <c r="M74" s="145">
        <f>J75</f>
        <v>26.872599999999998</v>
      </c>
      <c r="O74" s="184" t="s">
        <v>84</v>
      </c>
      <c r="P74" s="176" t="s">
        <v>98</v>
      </c>
      <c r="Q74" s="146" t="s">
        <v>56</v>
      </c>
    </row>
    <row r="75" spans="2:17">
      <c r="B75" s="130">
        <v>46126</v>
      </c>
      <c r="C75" s="125">
        <v>3</v>
      </c>
      <c r="D75" s="125"/>
      <c r="E75" s="125">
        <v>2</v>
      </c>
      <c r="F75" s="128">
        <v>8</v>
      </c>
      <c r="H75" s="142" t="s">
        <v>101</v>
      </c>
      <c r="I75" s="141" t="s">
        <v>64</v>
      </c>
      <c r="J75" s="146">
        <f>(5.42*3.08)+(3.77*2.7)</f>
        <v>26.872599999999998</v>
      </c>
      <c r="L75" s="145" t="s">
        <v>53</v>
      </c>
      <c r="M75" s="185">
        <f>J79</f>
        <v>28.213000000000001</v>
      </c>
      <c r="O75" s="184" t="s">
        <v>90</v>
      </c>
      <c r="P75" s="176" t="s">
        <v>99</v>
      </c>
      <c r="Q75" s="146" t="s">
        <v>56</v>
      </c>
    </row>
    <row r="76" spans="2:17" ht="30.75">
      <c r="B76" s="130">
        <v>46127</v>
      </c>
      <c r="C76" s="138">
        <v>4</v>
      </c>
      <c r="D76" s="138"/>
      <c r="E76" s="138">
        <v>2</v>
      </c>
      <c r="F76" s="131">
        <v>8</v>
      </c>
      <c r="H76" s="142" t="s">
        <v>102</v>
      </c>
      <c r="I76" s="141" t="s">
        <v>96</v>
      </c>
      <c r="J76" s="146">
        <f>(2.7)+(2.7)+(2.7)+(1.63)</f>
        <v>9.73</v>
      </c>
      <c r="O76" s="184" t="s">
        <v>90</v>
      </c>
      <c r="P76" s="176" t="s">
        <v>100</v>
      </c>
      <c r="Q76" s="146" t="s">
        <v>56</v>
      </c>
    </row>
    <row r="77" spans="2:17" ht="30.75">
      <c r="B77" s="130">
        <v>46128</v>
      </c>
      <c r="C77" s="138">
        <v>4</v>
      </c>
      <c r="D77" s="138"/>
      <c r="E77" s="138">
        <v>2</v>
      </c>
      <c r="F77" s="131">
        <v>7</v>
      </c>
      <c r="H77" s="142" t="s">
        <v>103</v>
      </c>
      <c r="I77" s="141" t="s">
        <v>96</v>
      </c>
      <c r="J77" s="146">
        <f>(2.64)+(2.64)+(1.73)</f>
        <v>7.01</v>
      </c>
      <c r="O77" s="184" t="s">
        <v>84</v>
      </c>
      <c r="P77" s="176" t="s">
        <v>102</v>
      </c>
      <c r="Q77" s="146" t="s">
        <v>96</v>
      </c>
    </row>
    <row r="78" spans="2:17" ht="30.75">
      <c r="B78" s="130">
        <v>46129</v>
      </c>
      <c r="C78" s="138">
        <v>5</v>
      </c>
      <c r="D78" s="138"/>
      <c r="E78" s="138">
        <v>1</v>
      </c>
      <c r="F78" s="131">
        <v>8</v>
      </c>
      <c r="H78" s="142" t="s">
        <v>104</v>
      </c>
      <c r="I78" s="141" t="s">
        <v>96</v>
      </c>
      <c r="J78" s="146">
        <f>(4.54)</f>
        <v>4.54</v>
      </c>
      <c r="O78" s="184" t="s">
        <v>105</v>
      </c>
      <c r="P78" s="176" t="s">
        <v>104</v>
      </c>
      <c r="Q78" s="146" t="s">
        <v>96</v>
      </c>
    </row>
    <row r="79" spans="2:17">
      <c r="B79" s="130">
        <v>46132</v>
      </c>
      <c r="C79" s="138">
        <v>5</v>
      </c>
      <c r="D79" s="138"/>
      <c r="E79" s="138">
        <v>1</v>
      </c>
      <c r="F79" s="131">
        <v>5</v>
      </c>
      <c r="H79" s="143" t="s">
        <v>106</v>
      </c>
      <c r="I79" s="144" t="s">
        <v>53</v>
      </c>
      <c r="J79" s="147">
        <f>((4.8*4.56)+(2.7*2.74)+(1.6*4.8)+(3.5*4.32)+(2.8*1.55))/2</f>
        <v>28.213000000000001</v>
      </c>
      <c r="O79" s="184" t="s">
        <v>107</v>
      </c>
      <c r="P79" s="176" t="s">
        <v>103</v>
      </c>
      <c r="Q79" s="146" t="s">
        <v>96</v>
      </c>
    </row>
    <row r="80" spans="2:17" ht="30.75">
      <c r="B80" s="130">
        <v>46134</v>
      </c>
      <c r="C80" s="138">
        <v>5</v>
      </c>
      <c r="D80" s="138"/>
      <c r="E80" s="138">
        <v>1</v>
      </c>
      <c r="F80" s="131">
        <v>7</v>
      </c>
      <c r="O80" s="143" t="s">
        <v>108</v>
      </c>
      <c r="P80" s="177" t="s">
        <v>106</v>
      </c>
      <c r="Q80" s="147" t="s">
        <v>53</v>
      </c>
    </row>
    <row r="81" spans="2:6">
      <c r="B81" s="133" t="s">
        <v>74</v>
      </c>
      <c r="C81" s="134">
        <f>SUM(C71:C80)</f>
        <v>34</v>
      </c>
      <c r="D81" s="134">
        <f>SUM(D71:D75)</f>
        <v>0</v>
      </c>
      <c r="E81" s="134">
        <f>SUM(E71:E80)</f>
        <v>17</v>
      </c>
      <c r="F81" s="135">
        <f>SUM(F71:F80)</f>
        <v>77</v>
      </c>
    </row>
  </sheetData>
  <mergeCells count="5">
    <mergeCell ref="B2:F2"/>
    <mergeCell ref="B22:F22"/>
    <mergeCell ref="B36:F36"/>
    <mergeCell ref="H52:J52"/>
    <mergeCell ref="H68:J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Estevao</dc:creator>
  <cp:keywords/>
  <dc:description/>
  <cp:lastModifiedBy>andre.birchal@farkasconstrutora.com.br</cp:lastModifiedBy>
  <cp:revision>1</cp:revision>
  <dcterms:created xsi:type="dcterms:W3CDTF">2020-11-18T13:56:05Z</dcterms:created>
  <dcterms:modified xsi:type="dcterms:W3CDTF">2026-04-23T14:00:01Z</dcterms:modified>
  <cp:category/>
  <cp:contentStatus/>
</cp:coreProperties>
</file>