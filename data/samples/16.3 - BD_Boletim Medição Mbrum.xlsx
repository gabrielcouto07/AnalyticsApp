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883" documentId="13_ncr:1_{D089F14C-DDE0-4318-B542-0C6A83561EFE}" xr6:coauthVersionLast="47" xr6:coauthVersionMax="47" xr10:uidLastSave="{0E816F8D-2E68-4D55-8AB7-89AD996D53AC}"/>
  <bookViews>
    <workbookView xWindow="-120" yWindow="-120" windowWidth="20730" windowHeight="11040" tabRatio="500" firstSheet="4" activeTab="4" xr2:uid="{00000000-000D-0000-FFFF-FFFF00000000}"/>
  </bookViews>
  <sheets>
    <sheet name="MED 01" sheetId="7" r:id="rId1"/>
    <sheet name="MED 02" sheetId="9" r:id="rId2"/>
    <sheet name="MED 03" sheetId="10" r:id="rId3"/>
    <sheet name="MED 04" sheetId="11" r:id="rId4"/>
    <sheet name="MED 05" sheetId="12" r:id="rId5"/>
    <sheet name="Auxiliar" sheetId="8" r:id="rId6"/>
  </sheets>
  <definedNames>
    <definedName name="_xlnm.Print_Area" localSheetId="0">'MED 01'!$A$1:$N$25</definedName>
    <definedName name="_xlnm.Print_Area" localSheetId="1">'MED 02'!$A$1:$N$25</definedName>
    <definedName name="_xlnm.Print_Area" localSheetId="2">'MED 03'!$A$1:$N$24</definedName>
    <definedName name="_xlnm.Print_Area" localSheetId="3">'MED 04'!$A$1:$N$28</definedName>
    <definedName name="_xlnm.Print_Area" localSheetId="4">'MED 05'!$A$1:$N$27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" i="12" l="1"/>
  <c r="L12" i="12"/>
  <c r="L11" i="12"/>
  <c r="L10" i="12"/>
  <c r="K16" i="12"/>
  <c r="K15" i="12"/>
  <c r="K14" i="12"/>
  <c r="K13" i="12"/>
  <c r="K12" i="12"/>
  <c r="K11" i="12"/>
  <c r="K10" i="12"/>
  <c r="L14" i="12"/>
  <c r="L15" i="12"/>
  <c r="L16" i="12"/>
  <c r="H16" i="12"/>
  <c r="H15" i="12"/>
  <c r="H14" i="12"/>
  <c r="F68" i="8"/>
  <c r="C68" i="8"/>
  <c r="H13" i="12"/>
  <c r="E24" i="12"/>
  <c r="J60" i="8"/>
  <c r="M58" i="8" s="1"/>
  <c r="J59" i="8"/>
  <c r="M57" i="8" s="1"/>
  <c r="J58" i="8"/>
  <c r="M56" i="8" s="1"/>
  <c r="J57" i="8"/>
  <c r="M55" i="8" s="1"/>
  <c r="M25" i="12"/>
  <c r="E23" i="12"/>
  <c r="E22" i="12"/>
  <c r="E21" i="12"/>
  <c r="G25" i="12" s="1"/>
  <c r="I16" i="12"/>
  <c r="G16" i="12"/>
  <c r="I14" i="12"/>
  <c r="G14" i="12"/>
  <c r="I13" i="12"/>
  <c r="G13" i="12"/>
  <c r="I12" i="12"/>
  <c r="G12" i="12"/>
  <c r="I11" i="12"/>
  <c r="G11" i="12"/>
  <c r="I10" i="12"/>
  <c r="G10" i="12"/>
  <c r="B6" i="12"/>
  <c r="B5" i="12"/>
  <c r="G18" i="11"/>
  <c r="G14" i="10"/>
  <c r="E15" i="11"/>
  <c r="I16" i="11"/>
  <c r="I17" i="11"/>
  <c r="E25" i="11"/>
  <c r="G14" i="11"/>
  <c r="G15" i="11"/>
  <c r="G16" i="11"/>
  <c r="G17" i="11"/>
  <c r="H15" i="11"/>
  <c r="K15" i="11"/>
  <c r="I14" i="11"/>
  <c r="I15" i="11"/>
  <c r="J15" i="11" s="1"/>
  <c r="E68" i="8"/>
  <c r="D68" i="8"/>
  <c r="M26" i="11"/>
  <c r="E24" i="11"/>
  <c r="E23" i="11"/>
  <c r="E22" i="11"/>
  <c r="G26" i="11" s="1"/>
  <c r="I13" i="11"/>
  <c r="G13" i="11"/>
  <c r="I12" i="11"/>
  <c r="G12" i="11"/>
  <c r="I11" i="11"/>
  <c r="G11" i="11"/>
  <c r="I10" i="11"/>
  <c r="G10" i="11"/>
  <c r="B6" i="11"/>
  <c r="B5" i="11"/>
  <c r="E20" i="10"/>
  <c r="E19" i="10"/>
  <c r="E18" i="10"/>
  <c r="K41" i="8"/>
  <c r="J42" i="8"/>
  <c r="M22" i="10"/>
  <c r="G22" i="10"/>
  <c r="I13" i="10"/>
  <c r="J13" i="10" s="1"/>
  <c r="G13" i="10"/>
  <c r="I12" i="10"/>
  <c r="G12" i="10"/>
  <c r="I11" i="10"/>
  <c r="G11" i="10"/>
  <c r="I10" i="10"/>
  <c r="G10" i="10"/>
  <c r="B6" i="10"/>
  <c r="B5" i="10"/>
  <c r="F52" i="8"/>
  <c r="H10" i="10" s="1"/>
  <c r="K10" i="10" s="1"/>
  <c r="E52" i="8"/>
  <c r="H11" i="10" s="1"/>
  <c r="K11" i="10" s="1"/>
  <c r="C52" i="8"/>
  <c r="H12" i="10" s="1"/>
  <c r="K12" i="10" s="1"/>
  <c r="D52" i="8"/>
  <c r="F36" i="8"/>
  <c r="E36" i="8"/>
  <c r="C36" i="8"/>
  <c r="I13" i="9"/>
  <c r="J13" i="9" s="1"/>
  <c r="G13" i="9"/>
  <c r="E20" i="9"/>
  <c r="E19" i="9"/>
  <c r="E18" i="9"/>
  <c r="H10" i="9"/>
  <c r="H11" i="9"/>
  <c r="D36" i="8"/>
  <c r="H12" i="9"/>
  <c r="M23" i="9"/>
  <c r="G23" i="9"/>
  <c r="I12" i="9"/>
  <c r="K12" i="9"/>
  <c r="G12" i="9"/>
  <c r="I11" i="9"/>
  <c r="K11" i="9"/>
  <c r="G11" i="9"/>
  <c r="I10" i="9"/>
  <c r="K10" i="9"/>
  <c r="G10" i="9"/>
  <c r="G14" i="9" s="1"/>
  <c r="B6" i="9"/>
  <c r="B5" i="9"/>
  <c r="F21" i="8"/>
  <c r="E21" i="8"/>
  <c r="D21" i="8"/>
  <c r="C21" i="8"/>
  <c r="H12" i="7"/>
  <c r="H11" i="7"/>
  <c r="H10" i="7"/>
  <c r="K11" i="7"/>
  <c r="I11" i="7"/>
  <c r="J11" i="7" s="1"/>
  <c r="G11" i="7"/>
  <c r="K10" i="7"/>
  <c r="I10" i="7"/>
  <c r="J10" i="7" s="1"/>
  <c r="L10" i="7" s="1"/>
  <c r="G10" i="7"/>
  <c r="B5" i="7"/>
  <c r="K12" i="7"/>
  <c r="H14" i="11" l="1"/>
  <c r="K14" i="11" s="1"/>
  <c r="H17" i="11"/>
  <c r="H16" i="11"/>
  <c r="H12" i="11"/>
  <c r="H12" i="12"/>
  <c r="H11" i="11"/>
  <c r="H11" i="12"/>
  <c r="H10" i="11"/>
  <c r="H10" i="12"/>
  <c r="J10" i="12"/>
  <c r="J11" i="12"/>
  <c r="J12" i="12"/>
  <c r="J14" i="12"/>
  <c r="I15" i="12"/>
  <c r="J15" i="12" s="1"/>
  <c r="G15" i="12"/>
  <c r="G17" i="12" s="1"/>
  <c r="J16" i="12"/>
  <c r="K12" i="11"/>
  <c r="L12" i="11" s="1"/>
  <c r="K11" i="11"/>
  <c r="L11" i="11" s="1"/>
  <c r="K10" i="11"/>
  <c r="L10" i="11" s="1"/>
  <c r="J14" i="11"/>
  <c r="L14" i="11" s="1"/>
  <c r="K17" i="11"/>
  <c r="J17" i="11"/>
  <c r="L17" i="11" s="1"/>
  <c r="K16" i="11"/>
  <c r="J16" i="11"/>
  <c r="L16" i="11" s="1"/>
  <c r="L15" i="11"/>
  <c r="J10" i="11"/>
  <c r="J11" i="11"/>
  <c r="J12" i="11"/>
  <c r="J10" i="10"/>
  <c r="J11" i="10"/>
  <c r="L11" i="10" s="1"/>
  <c r="J12" i="10"/>
  <c r="L12" i="10" s="1"/>
  <c r="J10" i="9"/>
  <c r="J11" i="9"/>
  <c r="L11" i="9" s="1"/>
  <c r="J12" i="9"/>
  <c r="L12" i="9" s="1"/>
  <c r="L11" i="7"/>
  <c r="M23" i="7"/>
  <c r="G23" i="7"/>
  <c r="I12" i="7"/>
  <c r="J12" i="7" s="1"/>
  <c r="L12" i="7" s="1"/>
  <c r="G12" i="7"/>
  <c r="G14" i="7" s="1"/>
  <c r="B6" i="7"/>
  <c r="J14" i="10" l="1"/>
  <c r="G16" i="10" s="1"/>
  <c r="G24" i="10" s="1"/>
  <c r="L10" i="10"/>
  <c r="M14" i="10" s="1"/>
  <c r="J14" i="9"/>
  <c r="G16" i="9"/>
  <c r="G25" i="9" s="1"/>
  <c r="L10" i="9"/>
  <c r="M14" i="9" s="1"/>
  <c r="M14" i="7"/>
  <c r="J14" i="7"/>
  <c r="G16" i="7" s="1"/>
  <c r="G25" i="7" s="1"/>
  <c r="J23" i="7" s="1"/>
  <c r="J13" i="12" l="1"/>
  <c r="K13" i="11"/>
  <c r="L13" i="12" s="1"/>
  <c r="J13" i="11"/>
  <c r="J22" i="10"/>
  <c r="J23" i="9"/>
  <c r="J17" i="7"/>
  <c r="L13" i="11" l="1"/>
  <c r="M18" i="11" s="1"/>
  <c r="J18" i="11"/>
  <c r="G20" i="11" s="1"/>
  <c r="G28" i="11" s="1"/>
  <c r="J26" i="11" s="1"/>
  <c r="M17" i="12"/>
  <c r="J17" i="12"/>
  <c r="G19" i="12" s="1"/>
  <c r="G27" i="12" s="1"/>
  <c r="J25" i="12" s="1"/>
  <c r="J27" i="12"/>
  <c r="M27" i="12" s="1"/>
  <c r="Q23" i="12" s="1"/>
  <c r="J17" i="9"/>
  <c r="J21" i="11" s="1"/>
  <c r="J17" i="10"/>
  <c r="J28" i="11"/>
  <c r="M28" i="11" s="1"/>
  <c r="J24" i="10"/>
  <c r="M24" i="10" s="1"/>
  <c r="J25" i="9"/>
  <c r="M25" i="9" s="1"/>
  <c r="J25" i="7"/>
  <c r="M25" i="7" s="1"/>
</calcChain>
</file>

<file path=xl/sharedStrings.xml><?xml version="1.0" encoding="utf-8"?>
<sst xmlns="http://schemas.openxmlformats.org/spreadsheetml/2006/main" count="358" uniqueCount="91">
  <si>
    <t>OBRA: FKR-018 - RIL</t>
  </si>
  <si>
    <t xml:space="preserve">FORNECEDOR: </t>
  </si>
  <si>
    <t>MBRUM CONSTRUÇÕES LTDA</t>
  </si>
  <si>
    <t>PLANILHA DE MEDIÇÃO DE SERVIÇOS - CONTRATUAL</t>
  </si>
  <si>
    <t>PERÍODO MEDIÇÃO</t>
  </si>
  <si>
    <t>BM-Nº</t>
  </si>
  <si>
    <t>DE 09/02/2026 a 23/02/2026</t>
  </si>
  <si>
    <t>VENCIMENTO</t>
  </si>
  <si>
    <t>28/02/2026</t>
  </si>
  <si>
    <t>ITEM</t>
  </si>
  <si>
    <t xml:space="preserve">1BN </t>
  </si>
  <si>
    <t>CONTRATUAL</t>
  </si>
  <si>
    <t>ESTA MEDIÇÃO</t>
  </si>
  <si>
    <t>ACUMULADO ATUAL</t>
  </si>
  <si>
    <t>SALDO À MEDIR</t>
  </si>
  <si>
    <t>%</t>
  </si>
  <si>
    <t>Qtde</t>
  </si>
  <si>
    <t>TOTAL CONTRATUAL</t>
  </si>
  <si>
    <t>TOTAL DESTA MEDIÇÃO</t>
  </si>
  <si>
    <t>TOTAL ACUMULADO ANTERIOR</t>
  </si>
  <si>
    <t>SALDO</t>
  </si>
  <si>
    <t>VALOR UNITÁRIO</t>
  </si>
  <si>
    <t>VALOR TOTAL</t>
  </si>
  <si>
    <t>DIÁRIA DE SERVENTE</t>
  </si>
  <si>
    <t>DIA</t>
  </si>
  <si>
    <t>DIÁRIA DE MEIO-OFICIAL</t>
  </si>
  <si>
    <t>DIÁRIA DE PEDREIRO</t>
  </si>
  <si>
    <t>T. ACUM. ATUAL</t>
  </si>
  <si>
    <t>FATURAMENTO DIRETO</t>
  </si>
  <si>
    <t>RETENÇÃO CONTRATUAL - 5%</t>
  </si>
  <si>
    <t>RETENÇÃO IMPOSTOS</t>
  </si>
  <si>
    <t>FORNECEDOR/PRODUTO</t>
  </si>
  <si>
    <t>NF/QUANTIDADE</t>
  </si>
  <si>
    <t>VALOR</t>
  </si>
  <si>
    <t>ACUMULADA, INC. ESTA</t>
  </si>
  <si>
    <t>VALOR  FAT. DIRETO</t>
  </si>
  <si>
    <t>VALOR RETENÇÃO TÉCNICA</t>
  </si>
  <si>
    <t>VALOR RETENÇÃO IMPOSTOS</t>
  </si>
  <si>
    <t>FARKAS CONSTRUTORA</t>
  </si>
  <si>
    <t>VALOR - FAT. DIRETO</t>
  </si>
  <si>
    <t>VALOR - RETENÇÃO</t>
  </si>
  <si>
    <t>VALOR NF A SER EMITIDA</t>
  </si>
  <si>
    <t xml:space="preserve">CAPA </t>
  </si>
  <si>
    <t>LUVA</t>
  </si>
  <si>
    <t>OCULOS</t>
  </si>
  <si>
    <r>
      <rPr>
        <sz val="11"/>
        <color rgb="FF000000"/>
        <rFont val="Calibri"/>
      </rPr>
      <t xml:space="preserve">OBS: </t>
    </r>
    <r>
      <rPr>
        <b/>
        <sz val="11"/>
        <color rgb="FFFF0000"/>
        <rFont val="Calibri"/>
      </rPr>
      <t>MEDIÇÃO 01 FALTOU O VALOR DE 3.149,37</t>
    </r>
  </si>
  <si>
    <t>DE 09/03/2026 a 23/03/2026</t>
  </si>
  <si>
    <t>30/03/2026</t>
  </si>
  <si>
    <t xml:space="preserve">BOTA </t>
  </si>
  <si>
    <t>DE 24/03/2026 a 07/04/2026</t>
  </si>
  <si>
    <t>15/04/2026</t>
  </si>
  <si>
    <t>CONTRAPISO</t>
  </si>
  <si>
    <t>M2</t>
  </si>
  <si>
    <t xml:space="preserve">REBOCO EXTERNO </t>
  </si>
  <si>
    <t>ESPALA VERTICAL</t>
  </si>
  <si>
    <t>M</t>
  </si>
  <si>
    <t>CHAPISCO</t>
  </si>
  <si>
    <t>TALISACAMENTO</t>
  </si>
  <si>
    <t>LUVA NITRILON</t>
  </si>
  <si>
    <t>OCULOS DE PROTEÇÃO</t>
  </si>
  <si>
    <t>BOTA PVC</t>
  </si>
  <si>
    <t xml:space="preserve">CAPACETE </t>
  </si>
  <si>
    <t>DE 08/04/2026 a 22/04/2026</t>
  </si>
  <si>
    <t>30/04/2026</t>
  </si>
  <si>
    <t>ALVENARIA</t>
  </si>
  <si>
    <t>CHAPISCO COLANTE</t>
  </si>
  <si>
    <t>CADEADO</t>
  </si>
  <si>
    <t>DIÁRIAS MBRUM-28/02</t>
  </si>
  <si>
    <t> </t>
  </si>
  <si>
    <t>OFICIAL</t>
  </si>
  <si>
    <t>CARPINTEIRO</t>
  </si>
  <si>
    <t>1/2 OFICIAL</t>
  </si>
  <si>
    <t>AJUDANTE</t>
  </si>
  <si>
    <t>TOTAL</t>
  </si>
  <si>
    <t>DIÁRIAS MBRUM - 24/02 a 06/03</t>
  </si>
  <si>
    <t>RETROATIVO</t>
  </si>
  <si>
    <t>DIÁRIAS MBRUM - 09/03 a 23/03</t>
  </si>
  <si>
    <t>DIÁRIAS MBRUM - 08/04 a 22/04</t>
  </si>
  <si>
    <t xml:space="preserve">MEDIÇÕES MBRUM - 08/04 a 22/04				</t>
  </si>
  <si>
    <t xml:space="preserve">CONTRAPISO </t>
  </si>
  <si>
    <t xml:space="preserve">PESSOAS </t>
  </si>
  <si>
    <t>LOCAL</t>
  </si>
  <si>
    <t>SERVIÇO</t>
  </si>
  <si>
    <t>DATITA E DOUGLAS</t>
  </si>
  <si>
    <t>EXECUÇÃO DE CONTRAPISO NO 1°PAV.</t>
  </si>
  <si>
    <t>GABRIEL</t>
  </si>
  <si>
    <t xml:space="preserve">EXECUÇÃO DE ALVENARIA NA PAREDE DA ADEGA </t>
  </si>
  <si>
    <t xml:space="preserve">CHAPISCO COLANTE </t>
  </si>
  <si>
    <t xml:space="preserve">DATITA </t>
  </si>
  <si>
    <t>EXECUÇÃO DE CHAPISCO COLANTE NO PILAR DO JARDIM NO 1° PAV.</t>
  </si>
  <si>
    <t>EXECUÇÃO DE CHAPISCO NA PAREDE DA ADEGA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</si>
</sst>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00"/>
    <numFmt numFmtId="165" formatCode="d/m/yyyy"/>
    <numFmt numFmtId="166" formatCode="_-&quot;R$ &quot;* #,##0.00_-;&quot;-R$ &quot;* #,##0.00_-;_-&quot;R$ &quot;* \-??_-;_-@_-"/>
    <numFmt numFmtId="167" formatCode="_(* #,##0.00_);_(* \(#,##0.00\);_(* \-??_);_(@_)"/>
    <numFmt numFmtId="168" formatCode="#,##0.00_);\(#,##0.00\)"/>
    <numFmt numFmtId="169" formatCode="&quot;R$&quot;\ #,##0.00"/>
  </numFmts>
  <fonts count="16">
    <font>
      <sz val="11"/>
      <color rgb="FF000000"/>
      <name val="Calibri"/>
      <charset val="1"/>
    </font>
    <font>
      <sz val="14"/>
      <name val="Arial Black"/>
      <family val="2"/>
      <charset val="1"/>
    </font>
    <font>
      <b/>
      <sz val="14"/>
      <name val="Arial Black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 Black"/>
      <family val="2"/>
      <charset val="1"/>
    </font>
    <font>
      <sz val="10"/>
      <name val="Arial Black"/>
      <family val="2"/>
      <charset val="1"/>
    </font>
    <font>
      <sz val="10"/>
      <name val="Calibri"/>
      <family val="2"/>
      <charset val="1"/>
    </font>
    <font>
      <sz val="11"/>
      <name val="Arial Black"/>
      <family val="2"/>
      <charset val="1"/>
    </font>
    <font>
      <b/>
      <sz val="11"/>
      <name val="Arial Black"/>
      <family val="2"/>
      <charset val="1"/>
    </font>
    <font>
      <sz val="11"/>
      <color rgb="FF000000"/>
      <name val="Arial Black"/>
      <family val="2"/>
      <charset val="1"/>
    </font>
    <font>
      <sz val="10"/>
      <color rgb="FF000000"/>
      <name val="Arial Black"/>
      <family val="2"/>
      <charset val="1"/>
    </font>
    <font>
      <sz val="11"/>
      <color rgb="FF000000"/>
      <name val="Calibri"/>
      <family val="2"/>
    </font>
    <font>
      <sz val="11"/>
      <color rgb="FFFF0000"/>
      <name val="Arial Black"/>
      <family val="2"/>
      <charset val="1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C5E0B3"/>
        <bgColor rgb="FFC5E0B4"/>
      </patternFill>
    </fill>
    <fill>
      <patternFill patternType="solid">
        <fgColor rgb="FFFFFFFF"/>
        <bgColor rgb="FFE2F0D9"/>
      </patternFill>
    </fill>
    <fill>
      <patternFill patternType="solid">
        <fgColor rgb="FFA8D08D"/>
        <bgColor rgb="FFA9D18E"/>
      </patternFill>
    </fill>
    <fill>
      <patternFill patternType="solid">
        <fgColor rgb="FFE2EFD9"/>
        <bgColor rgb="FFE2F0D9"/>
      </patternFill>
    </fill>
    <fill>
      <patternFill patternType="solid">
        <fgColor rgb="FFA9D18E"/>
        <bgColor rgb="FFA8D08D"/>
      </patternFill>
    </fill>
    <fill>
      <patternFill patternType="solid">
        <fgColor rgb="FFC5E0B4"/>
        <bgColor rgb="FFC5E0B3"/>
      </patternFill>
    </fill>
    <fill>
      <patternFill patternType="solid">
        <fgColor rgb="FFE2F0D9"/>
        <bgColor rgb="FFE2EFD9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dotted">
        <color indexed="64"/>
      </bottom>
      <diagonal/>
    </border>
    <border>
      <left/>
      <right/>
      <top style="medium">
        <color rgb="FF000000"/>
      </top>
      <bottom style="dotted">
        <color indexed="64"/>
      </bottom>
      <diagonal/>
    </border>
    <border>
      <left/>
      <right style="medium">
        <color rgb="FF000000"/>
      </right>
      <top style="medium">
        <color rgb="FF000000"/>
      </top>
      <bottom style="dotted">
        <color indexed="64"/>
      </bottom>
      <diagonal/>
    </border>
    <border>
      <left style="medium">
        <color rgb="FF000000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 style="medium">
        <color rgb="FF000000"/>
      </left>
      <right style="dotted">
        <color indexed="64"/>
      </right>
      <top style="dotted">
        <color indexed="64"/>
      </top>
      <bottom style="medium">
        <color rgb="FF000000"/>
      </bottom>
      <diagonal/>
    </border>
    <border>
      <left/>
      <right style="dotted">
        <color indexed="64"/>
      </right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medium">
        <color rgb="FF000000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6" fontId="11" fillId="0" borderId="0" applyBorder="0" applyProtection="0"/>
  </cellStyleXfs>
  <cellXfs count="2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3" fillId="3" borderId="0" xfId="0" applyFont="1" applyFill="1"/>
    <xf numFmtId="0" fontId="3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0" fillId="3" borderId="0" xfId="0" applyFill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4" fontId="7" fillId="5" borderId="23" xfId="0" applyNumberFormat="1" applyFont="1" applyFill="1" applyBorder="1" applyAlignment="1">
      <alignment horizontal="center" vertical="center"/>
    </xf>
    <xf numFmtId="166" fontId="8" fillId="5" borderId="21" xfId="1" applyFont="1" applyFill="1" applyBorder="1" applyAlignment="1" applyProtection="1">
      <alignment horizontal="center" vertical="center"/>
    </xf>
    <xf numFmtId="166" fontId="7" fillId="3" borderId="23" xfId="1" applyFont="1" applyFill="1" applyBorder="1" applyAlignment="1" applyProtection="1">
      <alignment horizontal="center" vertical="center"/>
    </xf>
    <xf numFmtId="0" fontId="7" fillId="5" borderId="24" xfId="0" applyFont="1" applyFill="1" applyBorder="1" applyAlignment="1">
      <alignment vertical="center"/>
    </xf>
    <xf numFmtId="166" fontId="7" fillId="3" borderId="25" xfId="1" applyFont="1" applyFill="1" applyBorder="1" applyAlignment="1" applyProtection="1">
      <alignment vertical="center"/>
    </xf>
    <xf numFmtId="2" fontId="7" fillId="3" borderId="24" xfId="0" applyNumberFormat="1" applyFont="1" applyFill="1" applyBorder="1" applyAlignment="1">
      <alignment vertical="center"/>
    </xf>
    <xf numFmtId="166" fontId="7" fillId="3" borderId="23" xfId="1" applyFont="1" applyFill="1" applyBorder="1" applyAlignment="1" applyProtection="1">
      <alignment vertical="center"/>
    </xf>
    <xf numFmtId="167" fontId="7" fillId="3" borderId="26" xfId="0" applyNumberFormat="1" applyFont="1" applyFill="1" applyBorder="1" applyAlignment="1">
      <alignment vertical="center"/>
    </xf>
    <xf numFmtId="10" fontId="7" fillId="3" borderId="25" xfId="0" applyNumberFormat="1" applyFont="1" applyFill="1" applyBorder="1" applyAlignment="1">
      <alignment vertical="center"/>
    </xf>
    <xf numFmtId="167" fontId="7" fillId="5" borderId="23" xfId="0" applyNumberFormat="1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 wrapText="1"/>
    </xf>
    <xf numFmtId="167" fontId="8" fillId="3" borderId="21" xfId="0" applyNumberFormat="1" applyFont="1" applyFill="1" applyBorder="1" applyAlignment="1">
      <alignment vertical="center"/>
    </xf>
    <xf numFmtId="167" fontId="7" fillId="5" borderId="31" xfId="0" applyNumberFormat="1" applyFont="1" applyFill="1" applyBorder="1" applyAlignment="1">
      <alignment vertical="center"/>
    </xf>
    <xf numFmtId="167" fontId="7" fillId="3" borderId="29" xfId="0" applyNumberFormat="1" applyFont="1" applyFill="1" applyBorder="1" applyAlignment="1">
      <alignment vertical="center"/>
    </xf>
    <xf numFmtId="167" fontId="7" fillId="3" borderId="32" xfId="0" applyNumberFormat="1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 wrapText="1"/>
    </xf>
    <xf numFmtId="167" fontId="8" fillId="5" borderId="29" xfId="0" applyNumberFormat="1" applyFont="1" applyFill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30" xfId="0" applyNumberFormat="1" applyFont="1" applyBorder="1" applyAlignment="1">
      <alignment vertical="center"/>
    </xf>
    <xf numFmtId="2" fontId="7" fillId="0" borderId="31" xfId="0" applyNumberFormat="1" applyFont="1" applyBorder="1" applyAlignment="1">
      <alignment vertical="center"/>
    </xf>
    <xf numFmtId="167" fontId="7" fillId="3" borderId="33" xfId="0" applyNumberFormat="1" applyFont="1" applyFill="1" applyBorder="1" applyAlignment="1">
      <alignment vertical="center"/>
    </xf>
    <xf numFmtId="10" fontId="7" fillId="3" borderId="34" xfId="0" applyNumberFormat="1" applyFont="1" applyFill="1" applyBorder="1" applyAlignment="1">
      <alignment vertical="center"/>
    </xf>
    <xf numFmtId="168" fontId="8" fillId="4" borderId="7" xfId="0" applyNumberFormat="1" applyFont="1" applyFill="1" applyBorder="1" applyAlignment="1">
      <alignment vertical="center"/>
    </xf>
    <xf numFmtId="168" fontId="8" fillId="4" borderId="8" xfId="0" applyNumberFormat="1" applyFont="1" applyFill="1" applyBorder="1" applyAlignment="1">
      <alignment vertical="center"/>
    </xf>
    <xf numFmtId="166" fontId="8" fillId="4" borderId="10" xfId="1" applyFont="1" applyFill="1" applyBorder="1" applyAlignment="1" applyProtection="1">
      <alignment vertical="center"/>
    </xf>
    <xf numFmtId="2" fontId="8" fillId="4" borderId="7" xfId="0" applyNumberFormat="1" applyFont="1" applyFill="1" applyBorder="1" applyAlignment="1">
      <alignment vertical="center"/>
    </xf>
    <xf numFmtId="167" fontId="8" fillId="4" borderId="10" xfId="0" applyNumberFormat="1" applyFont="1" applyFill="1" applyBorder="1" applyAlignment="1">
      <alignment vertical="center"/>
    </xf>
    <xf numFmtId="166" fontId="8" fillId="4" borderId="9" xfId="1" applyFont="1" applyFill="1" applyBorder="1" applyAlignment="1" applyProtection="1">
      <alignment vertical="center"/>
    </xf>
    <xf numFmtId="167" fontId="8" fillId="4" borderId="9" xfId="0" applyNumberFormat="1" applyFont="1" applyFill="1" applyBorder="1" applyAlignment="1">
      <alignment vertical="center"/>
    </xf>
    <xf numFmtId="9" fontId="8" fillId="4" borderId="10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0" fontId="5" fillId="3" borderId="0" xfId="0" applyNumberFormat="1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167" fontId="5" fillId="6" borderId="10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167" fontId="5" fillId="7" borderId="8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vertical="center"/>
    </xf>
    <xf numFmtId="0" fontId="5" fillId="3" borderId="21" xfId="0" applyFont="1" applyFill="1" applyBorder="1" applyAlignment="1">
      <alignment horizontal="left" vertical="center" wrapText="1"/>
    </xf>
    <xf numFmtId="167" fontId="5" fillId="3" borderId="35" xfId="0" applyNumberFormat="1" applyFont="1" applyFill="1" applyBorder="1" applyAlignment="1">
      <alignment vertical="center"/>
    </xf>
    <xf numFmtId="167" fontId="5" fillId="3" borderId="36" xfId="0" applyNumberFormat="1" applyFont="1" applyFill="1" applyBorder="1" applyAlignment="1">
      <alignment vertical="center"/>
    </xf>
    <xf numFmtId="2" fontId="5" fillId="3" borderId="37" xfId="0" applyNumberFormat="1" applyFont="1" applyFill="1" applyBorder="1" applyAlignment="1">
      <alignment vertical="center"/>
    </xf>
    <xf numFmtId="10" fontId="5" fillId="3" borderId="38" xfId="0" applyNumberFormat="1" applyFont="1" applyFill="1" applyBorder="1" applyAlignment="1">
      <alignment vertical="center"/>
    </xf>
    <xf numFmtId="167" fontId="5" fillId="3" borderId="39" xfId="0" applyNumberFormat="1" applyFont="1" applyFill="1" applyBorder="1" applyAlignment="1">
      <alignment vertical="center"/>
    </xf>
    <xf numFmtId="2" fontId="5" fillId="3" borderId="16" xfId="0" applyNumberFormat="1" applyFont="1" applyFill="1" applyBorder="1" applyAlignment="1">
      <alignment vertical="center"/>
    </xf>
    <xf numFmtId="167" fontId="5" fillId="3" borderId="40" xfId="0" applyNumberFormat="1" applyFont="1" applyFill="1" applyBorder="1" applyAlignment="1">
      <alignment vertical="center"/>
    </xf>
    <xf numFmtId="167" fontId="5" fillId="3" borderId="41" xfId="0" applyNumberFormat="1" applyFont="1" applyFill="1" applyBorder="1" applyAlignment="1">
      <alignment vertical="center"/>
    </xf>
    <xf numFmtId="2" fontId="5" fillId="3" borderId="35" xfId="0" applyNumberFormat="1" applyFont="1" applyFill="1" applyBorder="1" applyAlignment="1">
      <alignment vertical="center"/>
    </xf>
    <xf numFmtId="10" fontId="5" fillId="3" borderId="26" xfId="0" applyNumberFormat="1" applyFont="1" applyFill="1" applyBorder="1" applyAlignment="1">
      <alignment vertical="center"/>
    </xf>
    <xf numFmtId="167" fontId="5" fillId="3" borderId="27" xfId="0" applyNumberFormat="1" applyFont="1" applyFill="1" applyBorder="1" applyAlignment="1">
      <alignment vertical="center"/>
    </xf>
    <xf numFmtId="2" fontId="5" fillId="3" borderId="42" xfId="0" applyNumberFormat="1" applyFont="1" applyFill="1" applyBorder="1" applyAlignment="1">
      <alignment vertical="center"/>
    </xf>
    <xf numFmtId="2" fontId="5" fillId="3" borderId="40" xfId="0" applyNumberFormat="1" applyFont="1" applyFill="1" applyBorder="1" applyAlignment="1">
      <alignment vertical="center"/>
    </xf>
    <xf numFmtId="10" fontId="5" fillId="3" borderId="28" xfId="0" applyNumberFormat="1" applyFont="1" applyFill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left" vertical="center" wrapText="1"/>
    </xf>
    <xf numFmtId="0" fontId="5" fillId="8" borderId="17" xfId="0" applyFont="1" applyFill="1" applyBorder="1" applyAlignment="1">
      <alignment horizontal="center" vertical="center" wrapText="1"/>
    </xf>
    <xf numFmtId="167" fontId="5" fillId="8" borderId="8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vertical="center"/>
    </xf>
    <xf numFmtId="166" fontId="5" fillId="8" borderId="8" xfId="1" applyFont="1" applyFill="1" applyBorder="1" applyAlignment="1" applyProtection="1">
      <alignment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vertical="center" wrapText="1"/>
    </xf>
    <xf numFmtId="0" fontId="5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167" fontId="5" fillId="3" borderId="5" xfId="0" applyNumberFormat="1" applyFont="1" applyFill="1" applyBorder="1" applyAlignment="1">
      <alignment vertical="center"/>
    </xf>
    <xf numFmtId="167" fontId="5" fillId="3" borderId="4" xfId="0" applyNumberFormat="1" applyFont="1" applyFill="1" applyBorder="1" applyAlignment="1">
      <alignment vertical="center"/>
    </xf>
    <xf numFmtId="167" fontId="5" fillId="3" borderId="0" xfId="0" applyNumberFormat="1" applyFont="1" applyFill="1" applyAlignment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vertical="center"/>
    </xf>
    <xf numFmtId="166" fontId="5" fillId="6" borderId="10" xfId="1" applyFont="1" applyFill="1" applyBorder="1" applyAlignment="1" applyProtection="1">
      <alignment vertical="center"/>
    </xf>
    <xf numFmtId="49" fontId="4" fillId="2" borderId="16" xfId="0" applyNumberFormat="1" applyFont="1" applyFill="1" applyBorder="1" applyAlignment="1">
      <alignment horizontal="right" vertical="center"/>
    </xf>
    <xf numFmtId="167" fontId="7" fillId="0" borderId="33" xfId="0" applyNumberFormat="1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8" fillId="5" borderId="49" xfId="0" applyFont="1" applyFill="1" applyBorder="1" applyAlignment="1">
      <alignment horizontal="center" vertical="center"/>
    </xf>
    <xf numFmtId="167" fontId="8" fillId="3" borderId="49" xfId="0" applyNumberFormat="1" applyFont="1" applyFill="1" applyBorder="1" applyAlignment="1">
      <alignment vertical="center"/>
    </xf>
    <xf numFmtId="166" fontId="8" fillId="3" borderId="49" xfId="1" applyFont="1" applyFill="1" applyBorder="1" applyAlignment="1" applyProtection="1">
      <alignment vertical="center"/>
    </xf>
    <xf numFmtId="0" fontId="8" fillId="5" borderId="21" xfId="0" applyFont="1" applyFill="1" applyBorder="1" applyAlignment="1">
      <alignment horizontal="center" vertical="center"/>
    </xf>
    <xf numFmtId="166" fontId="8" fillId="3" borderId="21" xfId="1" applyFont="1" applyFill="1" applyBorder="1" applyAlignment="1" applyProtection="1">
      <alignment vertical="center"/>
    </xf>
    <xf numFmtId="167" fontId="5" fillId="3" borderId="50" xfId="0" applyNumberFormat="1" applyFont="1" applyFill="1" applyBorder="1" applyAlignment="1">
      <alignment vertical="center"/>
    </xf>
    <xf numFmtId="166" fontId="5" fillId="6" borderId="8" xfId="1" applyFont="1" applyFill="1" applyBorder="1" applyAlignment="1" applyProtection="1">
      <alignment vertical="center"/>
    </xf>
    <xf numFmtId="2" fontId="7" fillId="8" borderId="7" xfId="0" applyNumberFormat="1" applyFont="1" applyFill="1" applyBorder="1" applyAlignment="1">
      <alignment vertical="center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11" fillId="0" borderId="56" xfId="0" applyFont="1" applyBorder="1"/>
    <xf numFmtId="0" fontId="11" fillId="0" borderId="57" xfId="0" applyFont="1" applyBorder="1"/>
    <xf numFmtId="14" fontId="0" fillId="0" borderId="55" xfId="0" applyNumberFormat="1" applyBorder="1"/>
    <xf numFmtId="14" fontId="0" fillId="0" borderId="58" xfId="0" applyNumberFormat="1" applyBorder="1"/>
    <xf numFmtId="0" fontId="11" fillId="0" borderId="59" xfId="0" applyFont="1" applyBorder="1"/>
    <xf numFmtId="0" fontId="0" fillId="0" borderId="60" xfId="0" applyBorder="1"/>
    <xf numFmtId="0" fontId="0" fillId="0" borderId="64" xfId="0" applyBorder="1"/>
    <xf numFmtId="0" fontId="0" fillId="0" borderId="65" xfId="0" applyBorder="1"/>
    <xf numFmtId="0" fontId="11" fillId="0" borderId="65" xfId="0" applyFont="1" applyBorder="1"/>
    <xf numFmtId="14" fontId="0" fillId="0" borderId="64" xfId="0" applyNumberFormat="1" applyBorder="1"/>
    <xf numFmtId="0" fontId="11" fillId="0" borderId="66" xfId="0" applyFont="1" applyBorder="1"/>
    <xf numFmtId="0" fontId="0" fillId="0" borderId="67" xfId="0" applyBorder="1"/>
    <xf numFmtId="0" fontId="0" fillId="0" borderId="68" xfId="0" applyBorder="1"/>
    <xf numFmtId="43" fontId="0" fillId="0" borderId="0" xfId="0" applyNumberFormat="1"/>
    <xf numFmtId="0" fontId="12" fillId="5" borderId="23" xfId="0" applyFont="1" applyFill="1" applyBorder="1" applyAlignment="1">
      <alignment horizontal="left" vertical="center" wrapText="1"/>
    </xf>
    <xf numFmtId="0" fontId="13" fillId="3" borderId="0" xfId="0" applyFont="1" applyFill="1"/>
    <xf numFmtId="166" fontId="8" fillId="3" borderId="73" xfId="1" applyFont="1" applyFill="1" applyBorder="1" applyAlignment="1" applyProtection="1">
      <alignment vertical="center"/>
    </xf>
    <xf numFmtId="14" fontId="0" fillId="0" borderId="74" xfId="0" applyNumberFormat="1" applyBorder="1"/>
    <xf numFmtId="0" fontId="0" fillId="0" borderId="75" xfId="0" applyBorder="1"/>
    <xf numFmtId="0" fontId="0" fillId="0" borderId="76" xfId="0" applyBorder="1"/>
    <xf numFmtId="167" fontId="0" fillId="3" borderId="0" xfId="0" applyNumberFormat="1" applyFill="1"/>
    <xf numFmtId="43" fontId="0" fillId="3" borderId="0" xfId="0" applyNumberFormat="1" applyFill="1"/>
    <xf numFmtId="0" fontId="11" fillId="0" borderId="56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169" fontId="0" fillId="0" borderId="78" xfId="0" applyNumberFormat="1" applyBorder="1" applyAlignment="1">
      <alignment horizontal="center" vertical="center"/>
    </xf>
    <xf numFmtId="0" fontId="0" fillId="0" borderId="89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/>
    </xf>
    <xf numFmtId="0" fontId="0" fillId="0" borderId="88" xfId="0" applyBorder="1"/>
    <xf numFmtId="43" fontId="7" fillId="5" borderId="24" xfId="0" applyNumberFormat="1" applyFont="1" applyFill="1" applyBorder="1" applyAlignment="1">
      <alignment vertical="center"/>
    </xf>
    <xf numFmtId="0" fontId="0" fillId="0" borderId="95" xfId="0" applyBorder="1" applyAlignment="1">
      <alignment horizontal="center"/>
    </xf>
    <xf numFmtId="0" fontId="0" fillId="0" borderId="95" xfId="0" applyBorder="1"/>
    <xf numFmtId="0" fontId="0" fillId="0" borderId="86" xfId="0" applyBorder="1"/>
    <xf numFmtId="0" fontId="0" fillId="0" borderId="87" xfId="0" applyBorder="1"/>
    <xf numFmtId="0" fontId="0" fillId="0" borderId="96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169" fontId="0" fillId="0" borderId="76" xfId="0" applyNumberFormat="1" applyBorder="1" applyAlignment="1">
      <alignment horizontal="center" vertical="center"/>
    </xf>
    <xf numFmtId="0" fontId="0" fillId="0" borderId="83" xfId="0" applyBorder="1"/>
    <xf numFmtId="0" fontId="0" fillId="0" borderId="85" xfId="0" applyBorder="1" applyAlignment="1">
      <alignment horizontal="center" vertical="center" wrapText="1"/>
    </xf>
    <xf numFmtId="0" fontId="0" fillId="0" borderId="85" xfId="0" applyBorder="1" applyAlignment="1">
      <alignment horizontal="center" wrapText="1"/>
    </xf>
    <xf numFmtId="0" fontId="0" fillId="0" borderId="89" xfId="0" applyBorder="1"/>
    <xf numFmtId="0" fontId="0" fillId="0" borderId="91" xfId="0" applyBorder="1" applyAlignment="1">
      <alignment horizontal="center" wrapText="1"/>
    </xf>
    <xf numFmtId="2" fontId="7" fillId="9" borderId="24" xfId="0" applyNumberFormat="1" applyFont="1" applyFill="1" applyBorder="1" applyAlignment="1">
      <alignment vertical="center"/>
    </xf>
    <xf numFmtId="0" fontId="0" fillId="0" borderId="84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/>
    </xf>
    <xf numFmtId="0" fontId="0" fillId="0" borderId="90" xfId="0" applyBorder="1" applyAlignment="1">
      <alignment horizontal="center" vertical="center" wrapText="1"/>
    </xf>
    <xf numFmtId="0" fontId="15" fillId="0" borderId="88" xfId="0" applyFont="1" applyBorder="1"/>
    <xf numFmtId="0" fontId="0" fillId="0" borderId="97" xfId="0" applyBorder="1" applyAlignment="1">
      <alignment horizontal="center" vertical="center" wrapText="1"/>
    </xf>
    <xf numFmtId="0" fontId="15" fillId="0" borderId="98" xfId="0" applyFont="1" applyBorder="1"/>
    <xf numFmtId="0" fontId="15" fillId="0" borderId="78" xfId="0" applyFont="1" applyBorder="1"/>
    <xf numFmtId="0" fontId="0" fillId="0" borderId="99" xfId="0" applyBorder="1"/>
    <xf numFmtId="0" fontId="0" fillId="0" borderId="100" xfId="0" applyBorder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4" fillId="2" borderId="9" xfId="0" applyNumberFormat="1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4" fontId="4" fillId="4" borderId="9" xfId="0" applyNumberFormat="1" applyFont="1" applyFill="1" applyBorder="1" applyAlignment="1">
      <alignment horizontal="center" vertical="center" wrapText="1"/>
    </xf>
    <xf numFmtId="10" fontId="4" fillId="4" borderId="9" xfId="0" applyNumberFormat="1" applyFont="1" applyFill="1" applyBorder="1" applyAlignment="1">
      <alignment horizontal="center" vertical="center"/>
    </xf>
    <xf numFmtId="0" fontId="4" fillId="4" borderId="71" xfId="0" applyFont="1" applyFill="1" applyBorder="1" applyAlignment="1">
      <alignment horizontal="center" vertical="center" wrapText="1"/>
    </xf>
    <xf numFmtId="0" fontId="4" fillId="4" borderId="72" xfId="0" applyFont="1" applyFill="1" applyBorder="1" applyAlignment="1">
      <alignment horizontal="center" vertical="center" wrapText="1"/>
    </xf>
    <xf numFmtId="10" fontId="4" fillId="4" borderId="13" xfId="0" applyNumberFormat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 wrapText="1"/>
    </xf>
    <xf numFmtId="166" fontId="5" fillId="3" borderId="22" xfId="1" applyFont="1" applyFill="1" applyBorder="1" applyAlignment="1" applyProtection="1">
      <alignment horizontal="center" vertical="center"/>
    </xf>
    <xf numFmtId="166" fontId="5" fillId="3" borderId="41" xfId="1" applyFont="1" applyFill="1" applyBorder="1" applyAlignment="1" applyProtection="1">
      <alignment horizontal="center" vertical="center"/>
    </xf>
    <xf numFmtId="166" fontId="5" fillId="3" borderId="77" xfId="1" applyFont="1" applyFill="1" applyBorder="1" applyAlignment="1" applyProtection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 wrapText="1"/>
    </xf>
    <xf numFmtId="167" fontId="8" fillId="4" borderId="10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10" fontId="5" fillId="6" borderId="9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167" fontId="5" fillId="7" borderId="7" xfId="0" applyNumberFormat="1" applyFont="1" applyFill="1" applyBorder="1" applyAlignment="1">
      <alignment horizontal="center" vertical="center"/>
    </xf>
    <xf numFmtId="2" fontId="5" fillId="7" borderId="10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 wrapText="1"/>
    </xf>
    <xf numFmtId="166" fontId="10" fillId="3" borderId="22" xfId="1" applyFont="1" applyFill="1" applyBorder="1" applyAlignment="1" applyProtection="1">
      <alignment horizontal="center" vertical="center"/>
    </xf>
    <xf numFmtId="166" fontId="10" fillId="3" borderId="41" xfId="1" applyFont="1" applyFill="1" applyBorder="1" applyAlignment="1" applyProtection="1">
      <alignment horizontal="center" vertical="center"/>
    </xf>
    <xf numFmtId="166" fontId="10" fillId="3" borderId="77" xfId="1" applyFont="1" applyFill="1" applyBorder="1" applyAlignment="1" applyProtection="1">
      <alignment horizontal="center" vertical="center"/>
    </xf>
    <xf numFmtId="166" fontId="5" fillId="3" borderId="25" xfId="1" applyFont="1" applyFill="1" applyBorder="1" applyAlignment="1" applyProtection="1">
      <alignment horizontal="center" vertical="center"/>
    </xf>
    <xf numFmtId="0" fontId="5" fillId="3" borderId="29" xfId="0" applyFont="1" applyFill="1" applyBorder="1" applyAlignment="1">
      <alignment horizontal="center" vertical="center" wrapText="1"/>
    </xf>
    <xf numFmtId="166" fontId="5" fillId="3" borderId="29" xfId="1" applyFont="1" applyFill="1" applyBorder="1" applyAlignment="1" applyProtection="1">
      <alignment horizontal="center" vertical="center"/>
    </xf>
    <xf numFmtId="167" fontId="5" fillId="3" borderId="43" xfId="0" applyNumberFormat="1" applyFont="1" applyFill="1" applyBorder="1" applyAlignment="1">
      <alignment horizontal="center" vertical="center"/>
    </xf>
    <xf numFmtId="167" fontId="5" fillId="3" borderId="51" xfId="0" applyNumberFormat="1" applyFont="1" applyFill="1" applyBorder="1" applyAlignment="1">
      <alignment horizontal="center" vertical="center"/>
    </xf>
    <xf numFmtId="2" fontId="5" fillId="3" borderId="31" xfId="0" applyNumberFormat="1" applyFont="1" applyFill="1" applyBorder="1" applyAlignment="1">
      <alignment horizontal="center" vertical="center"/>
    </xf>
    <xf numFmtId="2" fontId="5" fillId="3" borderId="43" xfId="0" applyNumberFormat="1" applyFont="1" applyFill="1" applyBorder="1" applyAlignment="1">
      <alignment horizontal="center"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7" fillId="8" borderId="7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0" fontId="5" fillId="6" borderId="7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66" fontId="5" fillId="6" borderId="48" xfId="1" applyFont="1" applyFill="1" applyBorder="1" applyAlignment="1" applyProtection="1">
      <alignment horizontal="center" vertical="center"/>
    </xf>
    <xf numFmtId="166" fontId="10" fillId="3" borderId="25" xfId="1" applyFont="1" applyFill="1" applyBorder="1" applyAlignment="1" applyProtection="1">
      <alignment horizontal="center" vertical="center"/>
    </xf>
    <xf numFmtId="0" fontId="0" fillId="0" borderId="92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52" xfId="0" applyBorder="1" applyAlignment="1"/>
    <xf numFmtId="0" fontId="0" fillId="0" borderId="53" xfId="0" applyBorder="1" applyAlignment="1"/>
    <xf numFmtId="0" fontId="0" fillId="0" borderId="54" xfId="0" applyBorder="1" applyAlignment="1"/>
    <xf numFmtId="0" fontId="0" fillId="0" borderId="61" xfId="0" applyBorder="1" applyAlignment="1"/>
    <xf numFmtId="0" fontId="0" fillId="0" borderId="62" xfId="0" applyBorder="1" applyAlignment="1"/>
    <xf numFmtId="0" fontId="0" fillId="0" borderId="63" xfId="0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2EFD9"/>
      <rgbColor rgb="FFC5E0B3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8D08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E2D3-CE35-495F-9776-2FB4EDA53B2B}">
  <sheetPr codeName="Planilha5">
    <pageSetUpPr fitToPage="1"/>
  </sheetPr>
  <dimension ref="A1:AW854"/>
  <sheetViews>
    <sheetView topLeftCell="G1" zoomScale="55" zoomScaleNormal="55" workbookViewId="0">
      <selection activeCell="G3" sqref="D3:J3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6" t="s">
        <v>0</v>
      </c>
      <c r="E1" s="186"/>
      <c r="F1" s="186"/>
      <c r="G1" s="186"/>
      <c r="H1" s="186"/>
      <c r="I1" s="186"/>
      <c r="J1" s="186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87" t="s">
        <v>1</v>
      </c>
      <c r="E2" s="187"/>
      <c r="F2" s="187"/>
      <c r="G2" s="187" t="s">
        <v>2</v>
      </c>
      <c r="H2" s="187"/>
      <c r="I2" s="187"/>
      <c r="J2" s="187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87" t="s">
        <v>3</v>
      </c>
      <c r="E3" s="187"/>
      <c r="F3" s="187"/>
      <c r="G3" s="187"/>
      <c r="H3" s="187"/>
      <c r="I3" s="187"/>
      <c r="J3" s="187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 thickBo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 thickBot="1">
      <c r="A5" s="12"/>
      <c r="B5" s="13" t="str">
        <f>G2</f>
        <v>MBRUM CONSTRUÇÕES LTDA</v>
      </c>
      <c r="C5" s="14"/>
      <c r="D5" s="14"/>
      <c r="E5" s="15"/>
      <c r="F5" s="15"/>
      <c r="G5" s="14"/>
      <c r="H5" s="188" t="s">
        <v>4</v>
      </c>
      <c r="I5" s="188"/>
      <c r="J5" s="188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 thickBot="1">
      <c r="A6" s="20"/>
      <c r="B6" s="21" t="str">
        <f>D1</f>
        <v>OBRA: FKR-018 - RIL</v>
      </c>
      <c r="C6" s="22"/>
      <c r="D6" s="22"/>
      <c r="E6" s="23"/>
      <c r="F6" s="23"/>
      <c r="G6" s="22"/>
      <c r="H6" s="196" t="s">
        <v>6</v>
      </c>
      <c r="I6" s="196"/>
      <c r="J6" s="196"/>
      <c r="K6" s="189" t="s">
        <v>7</v>
      </c>
      <c r="L6" s="189"/>
      <c r="M6" s="24"/>
      <c r="N6" s="110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 thickBot="1">
      <c r="A7" s="190" t="s">
        <v>9</v>
      </c>
      <c r="B7" s="191" t="s">
        <v>10</v>
      </c>
      <c r="C7" s="192" t="s">
        <v>11</v>
      </c>
      <c r="D7" s="192"/>
      <c r="E7" s="192"/>
      <c r="F7" s="192"/>
      <c r="G7" s="192"/>
      <c r="H7" s="193" t="s">
        <v>12</v>
      </c>
      <c r="I7" s="193"/>
      <c r="J7" s="193"/>
      <c r="K7" s="194" t="s">
        <v>13</v>
      </c>
      <c r="L7" s="194"/>
      <c r="M7" s="197" t="s">
        <v>14</v>
      </c>
      <c r="N7" s="191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 thickBot="1">
      <c r="A8" s="190"/>
      <c r="B8" s="191"/>
      <c r="C8" s="198" t="s">
        <v>15</v>
      </c>
      <c r="D8" s="199" t="s">
        <v>16</v>
      </c>
      <c r="E8" s="25"/>
      <c r="F8" s="26"/>
      <c r="G8" s="204" t="s">
        <v>17</v>
      </c>
      <c r="H8" s="205" t="s">
        <v>16</v>
      </c>
      <c r="I8" s="25"/>
      <c r="J8" s="195" t="s">
        <v>18</v>
      </c>
      <c r="K8" s="208" t="s">
        <v>16</v>
      </c>
      <c r="L8" s="195" t="s">
        <v>19</v>
      </c>
      <c r="M8" s="197" t="s">
        <v>20</v>
      </c>
      <c r="N8" s="191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 ht="30">
      <c r="A9" s="190"/>
      <c r="B9" s="191"/>
      <c r="C9" s="198"/>
      <c r="D9" s="199"/>
      <c r="E9" s="27" t="s">
        <v>21</v>
      </c>
      <c r="F9" s="28" t="s">
        <v>22</v>
      </c>
      <c r="G9" s="204"/>
      <c r="H9" s="204"/>
      <c r="I9" s="29" t="s">
        <v>21</v>
      </c>
      <c r="J9" s="195"/>
      <c r="K9" s="208"/>
      <c r="L9" s="195"/>
      <c r="M9" s="197"/>
      <c r="N9" s="191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297</v>
      </c>
      <c r="F10" s="118"/>
      <c r="G10" s="34">
        <f>E10</f>
        <v>297</v>
      </c>
      <c r="H10" s="35">
        <f>Auxiliar!F21</f>
        <v>33</v>
      </c>
      <c r="I10" s="119">
        <f>+E10</f>
        <v>297</v>
      </c>
      <c r="J10" s="36">
        <f>+I10*H10</f>
        <v>9801</v>
      </c>
      <c r="K10" s="37">
        <f>+H10</f>
        <v>33</v>
      </c>
      <c r="L10" s="38">
        <f>+J10</f>
        <v>9801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407</v>
      </c>
      <c r="F11" s="44"/>
      <c r="G11" s="34">
        <f>E11</f>
        <v>407</v>
      </c>
      <c r="H11" s="35">
        <f>Auxiliar!E21</f>
        <v>8</v>
      </c>
      <c r="I11" s="121">
        <f>+E11</f>
        <v>407</v>
      </c>
      <c r="J11" s="36">
        <f>+I11*H11</f>
        <v>3256</v>
      </c>
      <c r="K11" s="37">
        <f>+H11</f>
        <v>8</v>
      </c>
      <c r="L11" s="38">
        <f>+J11</f>
        <v>3256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438</v>
      </c>
      <c r="F12" s="44"/>
      <c r="G12" s="34">
        <f>E12</f>
        <v>438</v>
      </c>
      <c r="H12" s="35">
        <f>Auxiliar!C21</f>
        <v>35</v>
      </c>
      <c r="I12" s="121">
        <f>+E12</f>
        <v>438</v>
      </c>
      <c r="J12" s="36">
        <f>+I12*H12</f>
        <v>15330</v>
      </c>
      <c r="K12" s="37">
        <f>+H12</f>
        <v>35</v>
      </c>
      <c r="L12" s="38">
        <f>+J12</f>
        <v>15330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42"/>
      <c r="B13" s="48"/>
      <c r="C13" s="43"/>
      <c r="D13" s="41"/>
      <c r="E13" s="49"/>
      <c r="F13" s="50"/>
      <c r="G13" s="51"/>
      <c r="H13" s="45"/>
      <c r="I13" s="111"/>
      <c r="J13" s="46"/>
      <c r="K13" s="52"/>
      <c r="L13" s="53"/>
      <c r="M13" s="47"/>
      <c r="N13" s="54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 thickBot="1">
      <c r="A14" s="213"/>
      <c r="B14" s="213"/>
      <c r="C14" s="213"/>
      <c r="D14" s="213"/>
      <c r="E14" s="55"/>
      <c r="F14" s="56"/>
      <c r="G14" s="57">
        <f>SUM(G10:G12)</f>
        <v>1142</v>
      </c>
      <c r="H14" s="58"/>
      <c r="I14" s="59"/>
      <c r="J14" s="60">
        <f>SUM(J10:J12)</f>
        <v>28387</v>
      </c>
      <c r="K14" s="214" t="s">
        <v>27</v>
      </c>
      <c r="L14" s="215"/>
      <c r="M14" s="61">
        <f>+SUM(L10:L12)</f>
        <v>28387</v>
      </c>
      <c r="N14" s="62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 thickBot="1">
      <c r="A15" s="63"/>
      <c r="B15" s="64"/>
      <c r="C15" s="64"/>
      <c r="D15" s="64"/>
      <c r="E15" s="65"/>
      <c r="F15" s="65"/>
      <c r="G15" s="65"/>
      <c r="H15" s="66"/>
      <c r="I15" s="65"/>
      <c r="J15" s="65"/>
      <c r="K15" s="65"/>
      <c r="L15" s="64"/>
      <c r="M15" s="65"/>
      <c r="N15" s="6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 thickBot="1">
      <c r="A16" s="115"/>
      <c r="B16" s="115" t="s">
        <v>28</v>
      </c>
      <c r="C16" s="216"/>
      <c r="D16" s="216"/>
      <c r="E16" s="68"/>
      <c r="F16" s="68"/>
      <c r="G16" s="69">
        <f>J14</f>
        <v>28387</v>
      </c>
      <c r="H16" s="217" t="s">
        <v>29</v>
      </c>
      <c r="I16" s="217"/>
      <c r="J16" s="217"/>
      <c r="K16" s="218" t="s">
        <v>30</v>
      </c>
      <c r="L16" s="218"/>
      <c r="M16" s="218"/>
      <c r="N16" s="218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 thickBot="1">
      <c r="A17" s="70" t="s">
        <v>9</v>
      </c>
      <c r="B17" s="116" t="s">
        <v>31</v>
      </c>
      <c r="C17" s="219" t="s">
        <v>32</v>
      </c>
      <c r="D17" s="219"/>
      <c r="E17" s="71"/>
      <c r="F17" s="71"/>
      <c r="G17" s="72" t="s">
        <v>33</v>
      </c>
      <c r="H17" s="220" t="s">
        <v>34</v>
      </c>
      <c r="I17" s="220"/>
      <c r="J17" s="73">
        <f>+J23</f>
        <v>1419.3500000000001</v>
      </c>
      <c r="K17" s="221"/>
      <c r="L17" s="221"/>
      <c r="M17" s="221"/>
      <c r="N17" s="221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12">
        <v>1</v>
      </c>
      <c r="B18" s="74"/>
      <c r="C18" s="209"/>
      <c r="D18" s="209"/>
      <c r="E18" s="226"/>
      <c r="F18" s="226"/>
      <c r="G18" s="226"/>
      <c r="H18" s="75"/>
      <c r="I18" s="76"/>
      <c r="J18" s="122"/>
      <c r="K18" s="77"/>
      <c r="L18" s="78"/>
      <c r="M18" s="79"/>
      <c r="N18" s="8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2</v>
      </c>
      <c r="B19" s="113"/>
      <c r="C19" s="222"/>
      <c r="D19" s="222"/>
      <c r="E19" s="241"/>
      <c r="F19" s="241"/>
      <c r="G19" s="241"/>
      <c r="H19" s="81"/>
      <c r="I19" s="82"/>
      <c r="J19" s="82"/>
      <c r="K19" s="83"/>
      <c r="L19" s="84"/>
      <c r="M19" s="85"/>
      <c r="N19" s="8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9">
        <v>3</v>
      </c>
      <c r="B20" s="74"/>
      <c r="C20" s="209"/>
      <c r="D20" s="209"/>
      <c r="E20" s="226"/>
      <c r="F20" s="226"/>
      <c r="G20" s="226"/>
      <c r="H20" s="81"/>
      <c r="I20" s="82"/>
      <c r="J20" s="82"/>
      <c r="K20" s="83"/>
      <c r="L20" s="84"/>
      <c r="M20" s="85"/>
      <c r="N20" s="8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9">
        <v>4</v>
      </c>
      <c r="B21" s="74"/>
      <c r="C21" s="209"/>
      <c r="D21" s="209"/>
      <c r="E21" s="226"/>
      <c r="F21" s="226"/>
      <c r="G21" s="226"/>
      <c r="H21" s="81"/>
      <c r="I21" s="82"/>
      <c r="J21" s="82"/>
      <c r="K21" s="87"/>
      <c r="L21" s="88"/>
      <c r="M21" s="226"/>
      <c r="N21" s="22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15.75" thickBot="1">
      <c r="A22" s="90">
        <v>5</v>
      </c>
      <c r="B22" s="91"/>
      <c r="C22" s="227"/>
      <c r="D22" s="227"/>
      <c r="E22" s="228"/>
      <c r="F22" s="228"/>
      <c r="G22" s="228"/>
      <c r="H22" s="229"/>
      <c r="I22" s="229"/>
      <c r="J22" s="230"/>
      <c r="K22" s="231"/>
      <c r="L22" s="231"/>
      <c r="M22" s="231"/>
      <c r="N22" s="232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 thickBot="1">
      <c r="A23" s="92"/>
      <c r="B23" s="93"/>
      <c r="C23" s="94"/>
      <c r="D23" s="95"/>
      <c r="E23" s="233" t="s">
        <v>35</v>
      </c>
      <c r="F23" s="233"/>
      <c r="G23" s="96">
        <f>+SUM(E18:G22)</f>
        <v>0</v>
      </c>
      <c r="H23" s="234" t="s">
        <v>36</v>
      </c>
      <c r="I23" s="234"/>
      <c r="J23" s="97">
        <f>G25*0.05</f>
        <v>1419.3500000000001</v>
      </c>
      <c r="K23" s="124" t="s">
        <v>37</v>
      </c>
      <c r="L23" s="95"/>
      <c r="M23" s="235">
        <f>M21</f>
        <v>0</v>
      </c>
      <c r="N23" s="235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 thickBot="1">
      <c r="A24" s="98"/>
      <c r="B24" s="99"/>
      <c r="C24" s="100"/>
      <c r="D24" s="101"/>
      <c r="E24" s="102"/>
      <c r="F24" s="103"/>
      <c r="G24" s="104"/>
      <c r="H24" s="105"/>
      <c r="I24" s="106"/>
      <c r="J24" s="106"/>
      <c r="K24" s="236"/>
      <c r="L24" s="236"/>
      <c r="M24" s="236"/>
      <c r="N24" s="236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 thickBot="1">
      <c r="A25" s="114"/>
      <c r="B25" s="107" t="s">
        <v>38</v>
      </c>
      <c r="C25" s="108"/>
      <c r="D25" s="68"/>
      <c r="E25" s="237" t="s">
        <v>39</v>
      </c>
      <c r="F25" s="237"/>
      <c r="G25" s="109">
        <f>G16-G23</f>
        <v>28387</v>
      </c>
      <c r="H25" s="238" t="s">
        <v>40</v>
      </c>
      <c r="I25" s="238"/>
      <c r="J25" s="123">
        <f>G25-J23</f>
        <v>26967.65</v>
      </c>
      <c r="K25" s="239" t="s">
        <v>41</v>
      </c>
      <c r="L25" s="239"/>
      <c r="M25" s="240">
        <f>+J25-M23</f>
        <v>26967.65</v>
      </c>
      <c r="N25" s="240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1">
    <mergeCell ref="K24:N24"/>
    <mergeCell ref="E25:F25"/>
    <mergeCell ref="H25:I25"/>
    <mergeCell ref="K25:L25"/>
    <mergeCell ref="M25:N25"/>
    <mergeCell ref="C22:D22"/>
    <mergeCell ref="E22:G22"/>
    <mergeCell ref="H22:J22"/>
    <mergeCell ref="K22:N22"/>
    <mergeCell ref="E23:F23"/>
    <mergeCell ref="H23:I23"/>
    <mergeCell ref="M23:N23"/>
    <mergeCell ref="C21:D21"/>
    <mergeCell ref="E21:G21"/>
    <mergeCell ref="M21:N21"/>
    <mergeCell ref="C18:D18"/>
    <mergeCell ref="E18:G18"/>
    <mergeCell ref="C19:D19"/>
    <mergeCell ref="E19:G19"/>
    <mergeCell ref="A14:D14"/>
    <mergeCell ref="K14:L14"/>
    <mergeCell ref="C16:D16"/>
    <mergeCell ref="H16:J16"/>
    <mergeCell ref="K16:N16"/>
    <mergeCell ref="H17:I17"/>
    <mergeCell ref="K17:N17"/>
    <mergeCell ref="C20:D20"/>
    <mergeCell ref="E20:G20"/>
    <mergeCell ref="C17:D17"/>
    <mergeCell ref="A7:A9"/>
    <mergeCell ref="B7:B9"/>
    <mergeCell ref="C7:G7"/>
    <mergeCell ref="H7:J7"/>
    <mergeCell ref="K7:L7"/>
    <mergeCell ref="H8:H9"/>
    <mergeCell ref="J8:J9"/>
    <mergeCell ref="K8:K9"/>
    <mergeCell ref="L8:L9"/>
    <mergeCell ref="M7:N7"/>
    <mergeCell ref="C8:C9"/>
    <mergeCell ref="D8:D9"/>
    <mergeCell ref="G8:G9"/>
    <mergeCell ref="D1:J1"/>
    <mergeCell ref="D2:F2"/>
    <mergeCell ref="G2:J2"/>
    <mergeCell ref="D3:J3"/>
    <mergeCell ref="H5:J5"/>
    <mergeCell ref="K6:L6"/>
    <mergeCell ref="H6:J6"/>
    <mergeCell ref="N8:N9"/>
    <mergeCell ref="M8:M9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A5AB-2C9D-4EDC-AD56-A89F2E701F22}">
  <sheetPr>
    <pageSetUpPr fitToPage="1"/>
  </sheetPr>
  <dimension ref="A1:AW854"/>
  <sheetViews>
    <sheetView topLeftCell="E1" zoomScale="55" zoomScaleNormal="55" workbookViewId="0">
      <selection activeCell="J18" sqref="J18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6" t="s">
        <v>0</v>
      </c>
      <c r="E1" s="186"/>
      <c r="F1" s="186"/>
      <c r="G1" s="186"/>
      <c r="H1" s="186"/>
      <c r="I1" s="186"/>
      <c r="J1" s="186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87" t="s">
        <v>1</v>
      </c>
      <c r="E2" s="187"/>
      <c r="F2" s="187"/>
      <c r="G2" s="187" t="s">
        <v>2</v>
      </c>
      <c r="H2" s="187"/>
      <c r="I2" s="187"/>
      <c r="J2" s="187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87" t="s">
        <v>3</v>
      </c>
      <c r="E3" s="187"/>
      <c r="F3" s="187"/>
      <c r="G3" s="187"/>
      <c r="H3" s="187"/>
      <c r="I3" s="187"/>
      <c r="J3" s="187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MBRUM CONSTRUÇÕES LTDA</v>
      </c>
      <c r="C5" s="14"/>
      <c r="D5" s="14"/>
      <c r="E5" s="15"/>
      <c r="F5" s="15"/>
      <c r="G5" s="14"/>
      <c r="H5" s="188" t="s">
        <v>4</v>
      </c>
      <c r="I5" s="188"/>
      <c r="J5" s="188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6" t="s">
        <v>6</v>
      </c>
      <c r="I6" s="196"/>
      <c r="J6" s="196"/>
      <c r="K6" s="189" t="s">
        <v>7</v>
      </c>
      <c r="L6" s="189"/>
      <c r="M6" s="24"/>
      <c r="N6" s="110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90" t="s">
        <v>9</v>
      </c>
      <c r="B7" s="191" t="s">
        <v>10</v>
      </c>
      <c r="C7" s="192" t="s">
        <v>11</v>
      </c>
      <c r="D7" s="192"/>
      <c r="E7" s="192"/>
      <c r="F7" s="192"/>
      <c r="G7" s="192"/>
      <c r="H7" s="193" t="s">
        <v>12</v>
      </c>
      <c r="I7" s="193"/>
      <c r="J7" s="193"/>
      <c r="K7" s="194" t="s">
        <v>13</v>
      </c>
      <c r="L7" s="194"/>
      <c r="M7" s="197" t="s">
        <v>14</v>
      </c>
      <c r="N7" s="191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90"/>
      <c r="B8" s="191"/>
      <c r="C8" s="198" t="s">
        <v>15</v>
      </c>
      <c r="D8" s="199" t="s">
        <v>16</v>
      </c>
      <c r="E8" s="200" t="s">
        <v>21</v>
      </c>
      <c r="F8" s="202" t="s">
        <v>22</v>
      </c>
      <c r="G8" s="204" t="s">
        <v>17</v>
      </c>
      <c r="H8" s="205" t="s">
        <v>16</v>
      </c>
      <c r="I8" s="206" t="s">
        <v>21</v>
      </c>
      <c r="J8" s="195" t="s">
        <v>18</v>
      </c>
      <c r="K8" s="208" t="s">
        <v>16</v>
      </c>
      <c r="L8" s="195" t="s">
        <v>19</v>
      </c>
      <c r="M8" s="197" t="s">
        <v>20</v>
      </c>
      <c r="N8" s="191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90"/>
      <c r="B9" s="191"/>
      <c r="C9" s="198"/>
      <c r="D9" s="199"/>
      <c r="E9" s="201"/>
      <c r="F9" s="203"/>
      <c r="G9" s="204"/>
      <c r="H9" s="204"/>
      <c r="I9" s="207"/>
      <c r="J9" s="195"/>
      <c r="K9" s="208"/>
      <c r="L9" s="195"/>
      <c r="M9" s="197"/>
      <c r="N9" s="191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Auxiliar!F36</f>
        <v>52</v>
      </c>
      <c r="I10" s="119">
        <f>+E10</f>
        <v>323.73</v>
      </c>
      <c r="J10" s="36">
        <f>+I10*H10</f>
        <v>16833.96</v>
      </c>
      <c r="K10" s="37">
        <f>+H10</f>
        <v>52</v>
      </c>
      <c r="L10" s="38">
        <f>+J10</f>
        <v>16833.96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Auxiliar!E36</f>
        <v>16</v>
      </c>
      <c r="I11" s="121">
        <f>+E11</f>
        <v>443.63</v>
      </c>
      <c r="J11" s="36">
        <f>+I11*H11</f>
        <v>7098.08</v>
      </c>
      <c r="K11" s="37">
        <f>+H11</f>
        <v>16</v>
      </c>
      <c r="L11" s="38">
        <f>+J11</f>
        <v>7098.08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Auxiliar!C36</f>
        <v>47</v>
      </c>
      <c r="I12" s="144">
        <f>+E12</f>
        <v>477.42</v>
      </c>
      <c r="J12" s="36">
        <f>+I12*H12</f>
        <v>22438.74</v>
      </c>
      <c r="K12" s="37">
        <f>+H12</f>
        <v>47</v>
      </c>
      <c r="L12" s="38">
        <f>+J12</f>
        <v>22438.74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42"/>
      <c r="B13" s="142"/>
      <c r="C13" s="43"/>
      <c r="D13" s="41"/>
      <c r="E13" s="49"/>
      <c r="F13" s="50"/>
      <c r="G13" s="51">
        <f>E13*D13</f>
        <v>0</v>
      </c>
      <c r="H13" s="45"/>
      <c r="I13" s="144">
        <f>+E13</f>
        <v>0</v>
      </c>
      <c r="J13" s="36">
        <f>+I13*H13</f>
        <v>0</v>
      </c>
      <c r="K13" s="52"/>
      <c r="L13" s="53"/>
      <c r="M13" s="47"/>
      <c r="N13" s="54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213"/>
      <c r="B14" s="213"/>
      <c r="C14" s="213"/>
      <c r="D14" s="213"/>
      <c r="E14" s="55"/>
      <c r="F14" s="56"/>
      <c r="G14" s="57">
        <f>SUM(G10:G12)</f>
        <v>1244.78</v>
      </c>
      <c r="H14" s="58"/>
      <c r="I14" s="59"/>
      <c r="J14" s="60">
        <f>SUM(J10:J13)</f>
        <v>46370.78</v>
      </c>
      <c r="K14" s="214" t="s">
        <v>27</v>
      </c>
      <c r="L14" s="215"/>
      <c r="M14" s="61">
        <f>+SUM(L10:L12)</f>
        <v>46370.78</v>
      </c>
      <c r="N14" s="62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63"/>
      <c r="B15" s="64"/>
      <c r="C15" s="64"/>
      <c r="D15" s="64"/>
      <c r="E15" s="65"/>
      <c r="F15" s="65"/>
      <c r="G15" s="65"/>
      <c r="H15" s="66"/>
      <c r="I15" s="65"/>
      <c r="J15" s="65"/>
      <c r="K15" s="65"/>
      <c r="L15" s="64"/>
      <c r="M15" s="65"/>
      <c r="N15" s="6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115"/>
      <c r="B16" s="115" t="s">
        <v>28</v>
      </c>
      <c r="C16" s="216"/>
      <c r="D16" s="216"/>
      <c r="E16" s="68"/>
      <c r="F16" s="68"/>
      <c r="G16" s="69">
        <f>J14</f>
        <v>46370.78</v>
      </c>
      <c r="H16" s="217" t="s">
        <v>29</v>
      </c>
      <c r="I16" s="217"/>
      <c r="J16" s="217"/>
      <c r="K16" s="218" t="s">
        <v>30</v>
      </c>
      <c r="L16" s="218"/>
      <c r="M16" s="218"/>
      <c r="N16" s="218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>
      <c r="A17" s="70" t="s">
        <v>9</v>
      </c>
      <c r="B17" s="116" t="s">
        <v>31</v>
      </c>
      <c r="C17" s="219" t="s">
        <v>32</v>
      </c>
      <c r="D17" s="219"/>
      <c r="E17" s="71"/>
      <c r="F17" s="71"/>
      <c r="G17" s="72" t="s">
        <v>33</v>
      </c>
      <c r="H17" s="220" t="s">
        <v>34</v>
      </c>
      <c r="I17" s="220"/>
      <c r="J17" s="73">
        <f>+J23+'MED 01'!J17</f>
        <v>3726.1490000000003</v>
      </c>
      <c r="K17" s="221"/>
      <c r="L17" s="221"/>
      <c r="M17" s="221"/>
      <c r="N17" s="221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12">
        <v>1</v>
      </c>
      <c r="B18" s="74" t="s">
        <v>42</v>
      </c>
      <c r="C18" s="209">
        <v>5</v>
      </c>
      <c r="D18" s="209"/>
      <c r="E18" s="226">
        <f>C18*23</f>
        <v>115</v>
      </c>
      <c r="F18" s="226"/>
      <c r="G18" s="226"/>
      <c r="H18" s="75"/>
      <c r="I18" s="76"/>
      <c r="J18" s="122"/>
      <c r="K18" s="77"/>
      <c r="L18" s="78"/>
      <c r="M18" s="79"/>
      <c r="N18" s="8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2</v>
      </c>
      <c r="B19" s="113" t="s">
        <v>43</v>
      </c>
      <c r="C19" s="222">
        <v>10</v>
      </c>
      <c r="D19" s="222"/>
      <c r="E19" s="241">
        <f>C19*9.38</f>
        <v>93.800000000000011</v>
      </c>
      <c r="F19" s="241"/>
      <c r="G19" s="241"/>
      <c r="H19" s="81"/>
      <c r="I19" s="82"/>
      <c r="J19" s="82"/>
      <c r="K19" s="83"/>
      <c r="L19" s="84"/>
      <c r="M19" s="85"/>
      <c r="N19" s="8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9">
        <v>3</v>
      </c>
      <c r="B20" s="74" t="s">
        <v>44</v>
      </c>
      <c r="C20" s="209">
        <v>8</v>
      </c>
      <c r="D20" s="209"/>
      <c r="E20" s="226">
        <f>C20*3.25</f>
        <v>26</v>
      </c>
      <c r="F20" s="226"/>
      <c r="G20" s="226"/>
      <c r="H20" s="81"/>
      <c r="I20" s="82"/>
      <c r="J20" s="82"/>
      <c r="K20" s="83"/>
      <c r="L20" s="84"/>
      <c r="M20" s="85"/>
      <c r="N20" s="8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9">
        <v>4</v>
      </c>
      <c r="B21" s="74"/>
      <c r="C21" s="209"/>
      <c r="D21" s="209"/>
      <c r="E21" s="226"/>
      <c r="F21" s="226"/>
      <c r="G21" s="226"/>
      <c r="H21" s="81"/>
      <c r="I21" s="82"/>
      <c r="J21" s="82"/>
      <c r="K21" s="87"/>
      <c r="L21" s="88"/>
      <c r="M21" s="226"/>
      <c r="N21" s="22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90">
        <v>5</v>
      </c>
      <c r="B22" s="91"/>
      <c r="C22" s="227"/>
      <c r="D22" s="227"/>
      <c r="E22" s="228"/>
      <c r="F22" s="228"/>
      <c r="G22" s="228"/>
      <c r="H22" s="229"/>
      <c r="I22" s="229"/>
      <c r="J22" s="230"/>
      <c r="K22" s="231"/>
      <c r="L22" s="231"/>
      <c r="M22" s="231"/>
      <c r="N22" s="232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92"/>
      <c r="B23" s="93"/>
      <c r="C23" s="94"/>
      <c r="D23" s="95"/>
      <c r="E23" s="233" t="s">
        <v>35</v>
      </c>
      <c r="F23" s="233"/>
      <c r="G23" s="96">
        <f>+SUM(E18:G22)</f>
        <v>234.8</v>
      </c>
      <c r="H23" s="234" t="s">
        <v>36</v>
      </c>
      <c r="I23" s="234"/>
      <c r="J23" s="97">
        <f>G25*0.05</f>
        <v>2306.799</v>
      </c>
      <c r="K23" s="124" t="s">
        <v>37</v>
      </c>
      <c r="L23" s="95"/>
      <c r="M23" s="235">
        <f>M21</f>
        <v>0</v>
      </c>
      <c r="N23" s="235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>
      <c r="A24" s="98"/>
      <c r="B24" s="99"/>
      <c r="C24" s="100"/>
      <c r="D24" s="101"/>
      <c r="E24" s="102"/>
      <c r="F24" s="103"/>
      <c r="G24" s="104"/>
      <c r="H24" s="105"/>
      <c r="I24" s="106"/>
      <c r="J24" s="106"/>
      <c r="K24" s="236"/>
      <c r="L24" s="236"/>
      <c r="M24" s="236"/>
      <c r="N24" s="236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>
      <c r="A25" s="114"/>
      <c r="B25" s="107" t="s">
        <v>38</v>
      </c>
      <c r="C25" s="108"/>
      <c r="D25" s="68"/>
      <c r="E25" s="237" t="s">
        <v>39</v>
      </c>
      <c r="F25" s="237"/>
      <c r="G25" s="109">
        <f>G16-G23</f>
        <v>46135.979999999996</v>
      </c>
      <c r="H25" s="238" t="s">
        <v>40</v>
      </c>
      <c r="I25" s="238"/>
      <c r="J25" s="123">
        <f>G25-J23</f>
        <v>43829.180999999997</v>
      </c>
      <c r="K25" s="239" t="s">
        <v>41</v>
      </c>
      <c r="L25" s="239"/>
      <c r="M25" s="240">
        <f>+J25-M23</f>
        <v>43829.180999999997</v>
      </c>
      <c r="N25" s="240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43" t="s">
        <v>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4">
    <mergeCell ref="D1:J1"/>
    <mergeCell ref="D2:F2"/>
    <mergeCell ref="G2:J2"/>
    <mergeCell ref="D3:J3"/>
    <mergeCell ref="H5:J5"/>
    <mergeCell ref="A14:D14"/>
    <mergeCell ref="K14:L14"/>
    <mergeCell ref="C16:D16"/>
    <mergeCell ref="K6:L6"/>
    <mergeCell ref="A7:A9"/>
    <mergeCell ref="B7:B9"/>
    <mergeCell ref="C7:G7"/>
    <mergeCell ref="H7:J7"/>
    <mergeCell ref="K7:L7"/>
    <mergeCell ref="H6:J6"/>
    <mergeCell ref="H16:J16"/>
    <mergeCell ref="K16:N16"/>
    <mergeCell ref="M7:N7"/>
    <mergeCell ref="C8:C9"/>
    <mergeCell ref="D8:D9"/>
    <mergeCell ref="G8:G9"/>
    <mergeCell ref="N8:N9"/>
    <mergeCell ref="E8:E9"/>
    <mergeCell ref="F8:F9"/>
    <mergeCell ref="I8:I9"/>
    <mergeCell ref="H17:I17"/>
    <mergeCell ref="K17:N17"/>
    <mergeCell ref="H8:H9"/>
    <mergeCell ref="J8:J9"/>
    <mergeCell ref="K8:K9"/>
    <mergeCell ref="L8:L9"/>
    <mergeCell ref="M8:M9"/>
    <mergeCell ref="C20:D20"/>
    <mergeCell ref="E20:G20"/>
    <mergeCell ref="C21:D21"/>
    <mergeCell ref="E21:G21"/>
    <mergeCell ref="M21:N21"/>
    <mergeCell ref="C18:D18"/>
    <mergeCell ref="E18:G18"/>
    <mergeCell ref="C19:D19"/>
    <mergeCell ref="E19:G19"/>
    <mergeCell ref="C17:D17"/>
    <mergeCell ref="C22:D22"/>
    <mergeCell ref="E22:G22"/>
    <mergeCell ref="H22:J22"/>
    <mergeCell ref="K22:N22"/>
    <mergeCell ref="E23:F23"/>
    <mergeCell ref="H23:I23"/>
    <mergeCell ref="M23:N23"/>
    <mergeCell ref="K24:N24"/>
    <mergeCell ref="E25:F25"/>
    <mergeCell ref="H25:I25"/>
    <mergeCell ref="K25:L25"/>
    <mergeCell ref="M25:N2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48CA-E468-40AD-883C-3B3A6AA0AFF2}">
  <sheetPr>
    <pageSetUpPr fitToPage="1"/>
  </sheetPr>
  <dimension ref="A1:AW853"/>
  <sheetViews>
    <sheetView zoomScale="55" zoomScaleNormal="55" workbookViewId="0">
      <selection activeCell="G14" sqref="G14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6" t="s">
        <v>0</v>
      </c>
      <c r="E1" s="186"/>
      <c r="F1" s="186"/>
      <c r="G1" s="186"/>
      <c r="H1" s="186"/>
      <c r="I1" s="186"/>
      <c r="J1" s="186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87" t="s">
        <v>1</v>
      </c>
      <c r="E2" s="187"/>
      <c r="F2" s="187"/>
      <c r="G2" s="187" t="s">
        <v>2</v>
      </c>
      <c r="H2" s="187"/>
      <c r="I2" s="187"/>
      <c r="J2" s="187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87" t="s">
        <v>3</v>
      </c>
      <c r="E3" s="187"/>
      <c r="F3" s="187"/>
      <c r="G3" s="187"/>
      <c r="H3" s="187"/>
      <c r="I3" s="187"/>
      <c r="J3" s="187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MBRUM CONSTRUÇÕES LTDA</v>
      </c>
      <c r="C5" s="14"/>
      <c r="D5" s="14"/>
      <c r="E5" s="15"/>
      <c r="F5" s="15"/>
      <c r="G5" s="14"/>
      <c r="H5" s="188" t="s">
        <v>4</v>
      </c>
      <c r="I5" s="188"/>
      <c r="J5" s="188"/>
      <c r="K5" s="16" t="s">
        <v>5</v>
      </c>
      <c r="L5" s="14"/>
      <c r="M5" s="17"/>
      <c r="N5" s="18">
        <v>3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6" t="s">
        <v>46</v>
      </c>
      <c r="I6" s="196"/>
      <c r="J6" s="196"/>
      <c r="K6" s="189" t="s">
        <v>7</v>
      </c>
      <c r="L6" s="189"/>
      <c r="M6" s="24"/>
      <c r="N6" s="110" t="s">
        <v>47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90" t="s">
        <v>9</v>
      </c>
      <c r="B7" s="191" t="s">
        <v>10</v>
      </c>
      <c r="C7" s="192" t="s">
        <v>11</v>
      </c>
      <c r="D7" s="192"/>
      <c r="E7" s="192"/>
      <c r="F7" s="192"/>
      <c r="G7" s="192"/>
      <c r="H7" s="193" t="s">
        <v>12</v>
      </c>
      <c r="I7" s="193"/>
      <c r="J7" s="193"/>
      <c r="K7" s="194" t="s">
        <v>13</v>
      </c>
      <c r="L7" s="194"/>
      <c r="M7" s="197" t="s">
        <v>14</v>
      </c>
      <c r="N7" s="191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90"/>
      <c r="B8" s="191"/>
      <c r="C8" s="198" t="s">
        <v>15</v>
      </c>
      <c r="D8" s="199" t="s">
        <v>16</v>
      </c>
      <c r="E8" s="200" t="s">
        <v>21</v>
      </c>
      <c r="F8" s="202" t="s">
        <v>22</v>
      </c>
      <c r="G8" s="204" t="s">
        <v>17</v>
      </c>
      <c r="H8" s="205" t="s">
        <v>16</v>
      </c>
      <c r="I8" s="206" t="s">
        <v>21</v>
      </c>
      <c r="J8" s="195" t="s">
        <v>18</v>
      </c>
      <c r="K8" s="208" t="s">
        <v>16</v>
      </c>
      <c r="L8" s="195" t="s">
        <v>19</v>
      </c>
      <c r="M8" s="197" t="s">
        <v>20</v>
      </c>
      <c r="N8" s="191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90"/>
      <c r="B9" s="191"/>
      <c r="C9" s="198"/>
      <c r="D9" s="199"/>
      <c r="E9" s="201"/>
      <c r="F9" s="203"/>
      <c r="G9" s="204"/>
      <c r="H9" s="204"/>
      <c r="I9" s="207"/>
      <c r="J9" s="195"/>
      <c r="K9" s="208"/>
      <c r="L9" s="195"/>
      <c r="M9" s="197"/>
      <c r="N9" s="191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Auxiliar!F52</f>
        <v>66</v>
      </c>
      <c r="I10" s="119">
        <f>+E10</f>
        <v>323.73</v>
      </c>
      <c r="J10" s="36">
        <f>+I10*H10</f>
        <v>21366.18</v>
      </c>
      <c r="K10" s="37">
        <f>+H10</f>
        <v>66</v>
      </c>
      <c r="L10" s="38">
        <f>+J10</f>
        <v>21366.18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Auxiliar!E52</f>
        <v>11</v>
      </c>
      <c r="I11" s="121">
        <f>+E11</f>
        <v>443.63</v>
      </c>
      <c r="J11" s="36">
        <f>+I11*H11</f>
        <v>4879.93</v>
      </c>
      <c r="K11" s="37">
        <f>+H11</f>
        <v>11</v>
      </c>
      <c r="L11" s="38">
        <f>+J11</f>
        <v>4879.93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Auxiliar!C52</f>
        <v>44</v>
      </c>
      <c r="I12" s="144">
        <f>+E12</f>
        <v>477.42</v>
      </c>
      <c r="J12" s="36">
        <f>+I12*H12</f>
        <v>21006.48</v>
      </c>
      <c r="K12" s="37">
        <f>+H12</f>
        <v>44</v>
      </c>
      <c r="L12" s="38">
        <f>+J12</f>
        <v>21006.48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42"/>
      <c r="B13" s="142"/>
      <c r="C13" s="43"/>
      <c r="D13" s="41"/>
      <c r="E13" s="49"/>
      <c r="F13" s="50"/>
      <c r="G13" s="51">
        <f>E13*D13</f>
        <v>0</v>
      </c>
      <c r="H13" s="45"/>
      <c r="I13" s="144">
        <f>+E13</f>
        <v>0</v>
      </c>
      <c r="J13" s="36">
        <f>+I13*H13</f>
        <v>0</v>
      </c>
      <c r="K13" s="52"/>
      <c r="L13" s="53"/>
      <c r="M13" s="47"/>
      <c r="N13" s="54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213"/>
      <c r="B14" s="213"/>
      <c r="C14" s="213"/>
      <c r="D14" s="213"/>
      <c r="E14" s="55"/>
      <c r="F14" s="56"/>
      <c r="G14" s="57">
        <f>SUM(G10:G12)</f>
        <v>1244.78</v>
      </c>
      <c r="H14" s="58"/>
      <c r="I14" s="59"/>
      <c r="J14" s="60">
        <f>SUM(J10:J13)</f>
        <v>47252.59</v>
      </c>
      <c r="K14" s="214" t="s">
        <v>27</v>
      </c>
      <c r="L14" s="215"/>
      <c r="M14" s="61">
        <f>+SUM(L10:L12)</f>
        <v>47252.59</v>
      </c>
      <c r="N14" s="62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63"/>
      <c r="B15" s="64"/>
      <c r="C15" s="64"/>
      <c r="D15" s="64"/>
      <c r="E15" s="65"/>
      <c r="F15" s="65"/>
      <c r="G15" s="65"/>
      <c r="H15" s="66"/>
      <c r="I15" s="65"/>
      <c r="J15" s="65"/>
      <c r="K15" s="65"/>
      <c r="L15" s="64"/>
      <c r="M15" s="65"/>
      <c r="N15" s="6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115"/>
      <c r="B16" s="115" t="s">
        <v>28</v>
      </c>
      <c r="C16" s="216"/>
      <c r="D16" s="216"/>
      <c r="E16" s="68"/>
      <c r="F16" s="68"/>
      <c r="G16" s="69">
        <f>J14</f>
        <v>47252.59</v>
      </c>
      <c r="H16" s="217" t="s">
        <v>29</v>
      </c>
      <c r="I16" s="217"/>
      <c r="J16" s="217"/>
      <c r="K16" s="218" t="s">
        <v>30</v>
      </c>
      <c r="L16" s="218"/>
      <c r="M16" s="218"/>
      <c r="N16" s="218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>
      <c r="A17" s="70" t="s">
        <v>9</v>
      </c>
      <c r="B17" s="116" t="s">
        <v>31</v>
      </c>
      <c r="C17" s="219" t="s">
        <v>32</v>
      </c>
      <c r="D17" s="219"/>
      <c r="E17" s="71"/>
      <c r="F17" s="71"/>
      <c r="G17" s="72" t="s">
        <v>33</v>
      </c>
      <c r="H17" s="220" t="s">
        <v>34</v>
      </c>
      <c r="I17" s="220"/>
      <c r="J17" s="73">
        <f>+J22+'MED 02'!J17</f>
        <v>6075.4695000000002</v>
      </c>
      <c r="K17" s="221"/>
      <c r="L17" s="221"/>
      <c r="M17" s="221"/>
      <c r="N17" s="221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89">
        <v>1</v>
      </c>
      <c r="B18" s="113" t="s">
        <v>43</v>
      </c>
      <c r="C18" s="222">
        <v>11</v>
      </c>
      <c r="D18" s="222"/>
      <c r="E18" s="223">
        <f>9.38*C18</f>
        <v>103.18</v>
      </c>
      <c r="F18" s="224"/>
      <c r="G18" s="225"/>
      <c r="H18" s="81"/>
      <c r="I18" s="82"/>
      <c r="J18" s="82"/>
      <c r="K18" s="83"/>
      <c r="L18" s="84"/>
      <c r="M18" s="85"/>
      <c r="N18" s="86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2</v>
      </c>
      <c r="B19" s="74" t="s">
        <v>44</v>
      </c>
      <c r="C19" s="209">
        <v>6</v>
      </c>
      <c r="D19" s="209"/>
      <c r="E19" s="210">
        <f>6.5*C19</f>
        <v>39</v>
      </c>
      <c r="F19" s="211"/>
      <c r="G19" s="212"/>
      <c r="H19" s="81"/>
      <c r="I19" s="82"/>
      <c r="J19" s="82"/>
      <c r="K19" s="83"/>
      <c r="L19" s="84"/>
      <c r="M19" s="85"/>
      <c r="N19" s="8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>
      <c r="A20" s="89">
        <v>3</v>
      </c>
      <c r="B20" s="74" t="s">
        <v>48</v>
      </c>
      <c r="C20" s="209">
        <v>2</v>
      </c>
      <c r="D20" s="209"/>
      <c r="E20" s="226">
        <f>62*C20</f>
        <v>124</v>
      </c>
      <c r="F20" s="226"/>
      <c r="G20" s="226"/>
      <c r="H20" s="81"/>
      <c r="I20" s="82"/>
      <c r="J20" s="82"/>
      <c r="K20" s="87"/>
      <c r="L20" s="88"/>
      <c r="M20" s="226"/>
      <c r="N20" s="22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90">
        <v>4</v>
      </c>
      <c r="B21" s="91"/>
      <c r="C21" s="227"/>
      <c r="D21" s="227"/>
      <c r="E21" s="228"/>
      <c r="F21" s="228"/>
      <c r="G21" s="228"/>
      <c r="H21" s="229"/>
      <c r="I21" s="229"/>
      <c r="J21" s="230"/>
      <c r="K21" s="231"/>
      <c r="L21" s="231"/>
      <c r="M21" s="231"/>
      <c r="N21" s="232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24.95" customHeight="1">
      <c r="A22" s="92"/>
      <c r="B22" s="93"/>
      <c r="C22" s="94"/>
      <c r="D22" s="95"/>
      <c r="E22" s="233" t="s">
        <v>35</v>
      </c>
      <c r="F22" s="233"/>
      <c r="G22" s="96">
        <f>+SUM(E18:G21)</f>
        <v>266.18</v>
      </c>
      <c r="H22" s="234" t="s">
        <v>36</v>
      </c>
      <c r="I22" s="234"/>
      <c r="J22" s="97">
        <f>G24*0.05</f>
        <v>2349.3204999999998</v>
      </c>
      <c r="K22" s="124" t="s">
        <v>37</v>
      </c>
      <c r="L22" s="95"/>
      <c r="M22" s="235">
        <f>M20</f>
        <v>0</v>
      </c>
      <c r="N22" s="235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98"/>
      <c r="B23" s="99"/>
      <c r="C23" s="100"/>
      <c r="D23" s="101"/>
      <c r="E23" s="102"/>
      <c r="F23" s="103"/>
      <c r="G23" s="104"/>
      <c r="H23" s="105"/>
      <c r="I23" s="106"/>
      <c r="J23" s="106"/>
      <c r="K23" s="236"/>
      <c r="L23" s="236"/>
      <c r="M23" s="236"/>
      <c r="N23" s="23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>
      <c r="A24" s="114"/>
      <c r="B24" s="107" t="s">
        <v>38</v>
      </c>
      <c r="C24" s="108"/>
      <c r="D24" s="68"/>
      <c r="E24" s="237" t="s">
        <v>39</v>
      </c>
      <c r="F24" s="237"/>
      <c r="G24" s="109">
        <f>G16-G22</f>
        <v>46986.409999999996</v>
      </c>
      <c r="H24" s="238" t="s">
        <v>40</v>
      </c>
      <c r="I24" s="238"/>
      <c r="J24" s="123">
        <f>G24-J22</f>
        <v>44637.089499999995</v>
      </c>
      <c r="K24" s="239" t="s">
        <v>41</v>
      </c>
      <c r="L24" s="239"/>
      <c r="M24" s="240">
        <f>+J24-M22</f>
        <v>44637.089499999995</v>
      </c>
      <c r="N24" s="240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60" customHeight="1">
      <c r="A25" s="143"/>
      <c r="B25" s="19"/>
      <c r="C25" s="19"/>
      <c r="D25" s="19"/>
      <c r="E25" s="19"/>
      <c r="F25" s="19"/>
      <c r="G25" s="148"/>
      <c r="H25" s="14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5:49"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5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5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5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5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5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5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5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5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5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5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5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5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5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5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5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</sheetData>
  <mergeCells count="52">
    <mergeCell ref="E22:F22"/>
    <mergeCell ref="H22:I22"/>
    <mergeCell ref="M22:N22"/>
    <mergeCell ref="K23:N23"/>
    <mergeCell ref="E24:F24"/>
    <mergeCell ref="H24:I24"/>
    <mergeCell ref="K24:L24"/>
    <mergeCell ref="M24:N24"/>
    <mergeCell ref="C21:D21"/>
    <mergeCell ref="E21:G21"/>
    <mergeCell ref="H21:J21"/>
    <mergeCell ref="K21:N21"/>
    <mergeCell ref="C17:D17"/>
    <mergeCell ref="H17:I17"/>
    <mergeCell ref="K17:N17"/>
    <mergeCell ref="C18:D18"/>
    <mergeCell ref="E18:G18"/>
    <mergeCell ref="C19:D19"/>
    <mergeCell ref="E19:G19"/>
    <mergeCell ref="C20:D20"/>
    <mergeCell ref="E20:G20"/>
    <mergeCell ref="M20:N20"/>
    <mergeCell ref="A14:D14"/>
    <mergeCell ref="K14:L14"/>
    <mergeCell ref="C16:D16"/>
    <mergeCell ref="H16:J16"/>
    <mergeCell ref="K16:N16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M8:M9"/>
    <mergeCell ref="N8:N9"/>
    <mergeCell ref="K6:L6"/>
    <mergeCell ref="A7:A9"/>
    <mergeCell ref="B7:B9"/>
    <mergeCell ref="C7:G7"/>
    <mergeCell ref="H7:J7"/>
    <mergeCell ref="K7:L7"/>
    <mergeCell ref="L8:L9"/>
    <mergeCell ref="H6:J6"/>
    <mergeCell ref="D1:J1"/>
    <mergeCell ref="D2:F2"/>
    <mergeCell ref="G2:J2"/>
    <mergeCell ref="D3:J3"/>
    <mergeCell ref="H5:J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FC9C-7501-4052-AC50-E29BA4ADD8F7}">
  <sheetPr>
    <pageSetUpPr fitToPage="1"/>
  </sheetPr>
  <dimension ref="A1:AW857"/>
  <sheetViews>
    <sheetView topLeftCell="B5" zoomScale="55" zoomScaleNormal="55" workbookViewId="0">
      <selection activeCell="K13" sqref="K13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6" t="s">
        <v>0</v>
      </c>
      <c r="E1" s="186"/>
      <c r="F1" s="186"/>
      <c r="G1" s="186"/>
      <c r="H1" s="186"/>
      <c r="I1" s="186"/>
      <c r="J1" s="186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87" t="s">
        <v>1</v>
      </c>
      <c r="E2" s="187"/>
      <c r="F2" s="187"/>
      <c r="G2" s="187" t="s">
        <v>2</v>
      </c>
      <c r="H2" s="187"/>
      <c r="I2" s="187"/>
      <c r="J2" s="187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87" t="s">
        <v>3</v>
      </c>
      <c r="E3" s="187"/>
      <c r="F3" s="187"/>
      <c r="G3" s="187"/>
      <c r="H3" s="187"/>
      <c r="I3" s="187"/>
      <c r="J3" s="187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MBRUM CONSTRUÇÕES LTDA</v>
      </c>
      <c r="C5" s="14"/>
      <c r="D5" s="14"/>
      <c r="E5" s="15"/>
      <c r="F5" s="15"/>
      <c r="G5" s="14"/>
      <c r="H5" s="188" t="s">
        <v>4</v>
      </c>
      <c r="I5" s="188"/>
      <c r="J5" s="188"/>
      <c r="K5" s="16" t="s">
        <v>5</v>
      </c>
      <c r="L5" s="14"/>
      <c r="M5" s="17"/>
      <c r="N5" s="18">
        <v>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6" t="s">
        <v>49</v>
      </c>
      <c r="I6" s="196"/>
      <c r="J6" s="196"/>
      <c r="K6" s="189" t="s">
        <v>7</v>
      </c>
      <c r="L6" s="189"/>
      <c r="M6" s="24"/>
      <c r="N6" s="110" t="s">
        <v>50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90" t="s">
        <v>9</v>
      </c>
      <c r="B7" s="191" t="s">
        <v>10</v>
      </c>
      <c r="C7" s="192" t="s">
        <v>11</v>
      </c>
      <c r="D7" s="192"/>
      <c r="E7" s="192"/>
      <c r="F7" s="192"/>
      <c r="G7" s="192"/>
      <c r="H7" s="193" t="s">
        <v>12</v>
      </c>
      <c r="I7" s="193"/>
      <c r="J7" s="193"/>
      <c r="K7" s="194" t="s">
        <v>13</v>
      </c>
      <c r="L7" s="194"/>
      <c r="M7" s="197" t="s">
        <v>14</v>
      </c>
      <c r="N7" s="191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90"/>
      <c r="B8" s="191"/>
      <c r="C8" s="198" t="s">
        <v>15</v>
      </c>
      <c r="D8" s="199" t="s">
        <v>16</v>
      </c>
      <c r="E8" s="200" t="s">
        <v>21</v>
      </c>
      <c r="F8" s="202" t="s">
        <v>22</v>
      </c>
      <c r="G8" s="204" t="s">
        <v>17</v>
      </c>
      <c r="H8" s="205" t="s">
        <v>16</v>
      </c>
      <c r="I8" s="206" t="s">
        <v>21</v>
      </c>
      <c r="J8" s="195" t="s">
        <v>18</v>
      </c>
      <c r="K8" s="208" t="s">
        <v>16</v>
      </c>
      <c r="L8" s="195" t="s">
        <v>19</v>
      </c>
      <c r="M8" s="197" t="s">
        <v>20</v>
      </c>
      <c r="N8" s="191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90"/>
      <c r="B9" s="191"/>
      <c r="C9" s="198"/>
      <c r="D9" s="199"/>
      <c r="E9" s="201"/>
      <c r="F9" s="203"/>
      <c r="G9" s="204"/>
      <c r="H9" s="204"/>
      <c r="I9" s="207"/>
      <c r="J9" s="195"/>
      <c r="K9" s="208"/>
      <c r="L9" s="195"/>
      <c r="M9" s="197"/>
      <c r="N9" s="191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Auxiliar!F68</f>
        <v>35</v>
      </c>
      <c r="I10" s="119">
        <f>+E10</f>
        <v>323.73</v>
      </c>
      <c r="J10" s="36">
        <f>+I10*H10</f>
        <v>11330.550000000001</v>
      </c>
      <c r="K10" s="176">
        <f>+H10+'MED 03'!K10</f>
        <v>101</v>
      </c>
      <c r="L10" s="38">
        <f>+K10*I10</f>
        <v>32696.730000000003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Auxiliar!E68</f>
        <v>16</v>
      </c>
      <c r="I11" s="121">
        <f>+E11</f>
        <v>443.63</v>
      </c>
      <c r="J11" s="36">
        <f>+I11*H11</f>
        <v>7098.08</v>
      </c>
      <c r="K11" s="176">
        <f>+H11+'MED 03'!K11</f>
        <v>27</v>
      </c>
      <c r="L11" s="38">
        <f>+K11*I11</f>
        <v>11978.01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Auxiliar!C68</f>
        <v>71</v>
      </c>
      <c r="I12" s="144">
        <f>+E12</f>
        <v>477.42</v>
      </c>
      <c r="J12" s="36">
        <f>+I12*H12</f>
        <v>33896.82</v>
      </c>
      <c r="K12" s="176">
        <f>+H12+'MED 03'!K12</f>
        <v>115</v>
      </c>
      <c r="L12" s="38">
        <f t="shared" ref="L11:L12" si="0">+K12*I12</f>
        <v>54903.3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30">
        <v>4</v>
      </c>
      <c r="B13" s="31" t="s">
        <v>51</v>
      </c>
      <c r="C13" s="120" t="s">
        <v>52</v>
      </c>
      <c r="D13" s="32">
        <v>1</v>
      </c>
      <c r="E13" s="33">
        <v>39.93</v>
      </c>
      <c r="F13" s="44"/>
      <c r="G13" s="34">
        <f>E13*D13</f>
        <v>39.93</v>
      </c>
      <c r="H13" s="163">
        <v>125.22</v>
      </c>
      <c r="I13" s="144">
        <f>+E13</f>
        <v>39.93</v>
      </c>
      <c r="J13" s="36">
        <f>+I13*H13</f>
        <v>5000.0346</v>
      </c>
      <c r="K13" s="176">
        <f>+H13</f>
        <v>125.22</v>
      </c>
      <c r="L13" s="38">
        <f t="shared" ref="L13:L17" si="1">+J13</f>
        <v>5000.0346</v>
      </c>
      <c r="M13" s="39"/>
      <c r="N13" s="40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30">
        <v>5</v>
      </c>
      <c r="B14" s="31" t="s">
        <v>53</v>
      </c>
      <c r="C14" s="120" t="s">
        <v>52</v>
      </c>
      <c r="D14" s="32">
        <v>1</v>
      </c>
      <c r="E14" s="33">
        <v>45.98</v>
      </c>
      <c r="F14" s="44"/>
      <c r="G14" s="34">
        <f t="shared" ref="G14:G17" si="2">E14*D14</f>
        <v>45.98</v>
      </c>
      <c r="H14" s="35">
        <f>Auxiliar!M55</f>
        <v>123.35999999999999</v>
      </c>
      <c r="I14" s="119">
        <f>+E14</f>
        <v>45.98</v>
      </c>
      <c r="J14" s="36">
        <f t="shared" ref="J14:J17" si="3">+I14*H14</f>
        <v>5672.0927999999985</v>
      </c>
      <c r="K14" s="176">
        <f t="shared" ref="K13:K17" si="4">+H14</f>
        <v>123.35999999999999</v>
      </c>
      <c r="L14" s="38">
        <f t="shared" si="1"/>
        <v>5672.0927999999985</v>
      </c>
      <c r="M14" s="39"/>
      <c r="N14" s="40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30">
        <v>6</v>
      </c>
      <c r="B15" s="31" t="s">
        <v>54</v>
      </c>
      <c r="C15" s="120" t="s">
        <v>55</v>
      </c>
      <c r="D15" s="32">
        <v>1</v>
      </c>
      <c r="E15" s="33">
        <f>45.98/2</f>
        <v>22.99</v>
      </c>
      <c r="F15" s="44"/>
      <c r="G15" s="34">
        <f t="shared" si="2"/>
        <v>22.99</v>
      </c>
      <c r="H15" s="35">
        <f>Auxiliar!M56</f>
        <v>6.6639999999999997</v>
      </c>
      <c r="I15" s="121">
        <f>+E15</f>
        <v>22.99</v>
      </c>
      <c r="J15" s="36">
        <f t="shared" si="3"/>
        <v>153.20535999999998</v>
      </c>
      <c r="K15" s="176">
        <f t="shared" si="4"/>
        <v>6.6639999999999997</v>
      </c>
      <c r="L15" s="38">
        <f t="shared" si="1"/>
        <v>153.20535999999998</v>
      </c>
      <c r="M15" s="39"/>
      <c r="N15" s="4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24.95" customHeight="1">
      <c r="A16" s="30">
        <v>7</v>
      </c>
      <c r="B16" s="31" t="s">
        <v>56</v>
      </c>
      <c r="C16" s="120" t="s">
        <v>52</v>
      </c>
      <c r="D16" s="32">
        <v>1</v>
      </c>
      <c r="E16" s="33">
        <v>12.1</v>
      </c>
      <c r="F16" s="44"/>
      <c r="G16" s="34">
        <f t="shared" si="2"/>
        <v>12.1</v>
      </c>
      <c r="H16" s="35">
        <f>Auxiliar!M57</f>
        <v>13.6328</v>
      </c>
      <c r="I16" s="121">
        <f t="shared" ref="I16:I17" si="5">+E16</f>
        <v>12.1</v>
      </c>
      <c r="J16" s="36">
        <f t="shared" si="3"/>
        <v>164.95687999999998</v>
      </c>
      <c r="K16" s="176">
        <f t="shared" si="4"/>
        <v>13.6328</v>
      </c>
      <c r="L16" s="38">
        <f t="shared" si="1"/>
        <v>164.95687999999998</v>
      </c>
      <c r="M16" s="39"/>
      <c r="N16" s="4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24.95" customHeight="1">
      <c r="A17" s="30">
        <v>8</v>
      </c>
      <c r="B17" s="31" t="s">
        <v>57</v>
      </c>
      <c r="C17" s="120" t="s">
        <v>52</v>
      </c>
      <c r="D17" s="32">
        <v>1</v>
      </c>
      <c r="E17" s="33">
        <v>14.52</v>
      </c>
      <c r="F17" s="44"/>
      <c r="G17" s="34">
        <f t="shared" si="2"/>
        <v>14.52</v>
      </c>
      <c r="H17" s="163">
        <f>Auxiliar!M58</f>
        <v>5.2459999999999996</v>
      </c>
      <c r="I17" s="121">
        <f t="shared" si="5"/>
        <v>14.52</v>
      </c>
      <c r="J17" s="36">
        <f t="shared" si="3"/>
        <v>76.171919999999986</v>
      </c>
      <c r="K17" s="176">
        <f t="shared" si="4"/>
        <v>5.2459999999999996</v>
      </c>
      <c r="L17" s="38">
        <f t="shared" si="1"/>
        <v>76.171919999999986</v>
      </c>
      <c r="M17" s="39"/>
      <c r="N17" s="40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24.95" customHeight="1">
      <c r="A18" s="213"/>
      <c r="B18" s="213"/>
      <c r="C18" s="213"/>
      <c r="D18" s="213"/>
      <c r="E18" s="55"/>
      <c r="F18" s="56"/>
      <c r="G18" s="57">
        <f>SUM(G10:G17)</f>
        <v>1380.3</v>
      </c>
      <c r="H18" s="58"/>
      <c r="I18" s="59"/>
      <c r="J18" s="60">
        <f>SUM(J10:J17)</f>
        <v>63391.911559999993</v>
      </c>
      <c r="K18" s="214" t="s">
        <v>27</v>
      </c>
      <c r="L18" s="215"/>
      <c r="M18" s="61">
        <f>+SUM(L10:L17)</f>
        <v>110644.50156</v>
      </c>
      <c r="N18" s="62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24.95" customHeight="1">
      <c r="A19" s="63"/>
      <c r="B19" s="64"/>
      <c r="C19" s="64"/>
      <c r="D19" s="64"/>
      <c r="E19" s="65"/>
      <c r="F19" s="65"/>
      <c r="G19" s="65"/>
      <c r="H19" s="66"/>
      <c r="I19" s="65"/>
      <c r="J19" s="65"/>
      <c r="K19" s="65"/>
      <c r="L19" s="64"/>
      <c r="M19" s="65"/>
      <c r="N19" s="67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30" customHeight="1">
      <c r="A20" s="115"/>
      <c r="B20" s="115" t="s">
        <v>28</v>
      </c>
      <c r="C20" s="216"/>
      <c r="D20" s="216"/>
      <c r="E20" s="68"/>
      <c r="F20" s="68"/>
      <c r="G20" s="69">
        <f>J18</f>
        <v>63391.911559999993</v>
      </c>
      <c r="H20" s="217" t="s">
        <v>29</v>
      </c>
      <c r="I20" s="217"/>
      <c r="J20" s="217"/>
      <c r="K20" s="218" t="s">
        <v>30</v>
      </c>
      <c r="L20" s="218"/>
      <c r="M20" s="218"/>
      <c r="N20" s="218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ht="30" customHeight="1">
      <c r="A21" s="70" t="s">
        <v>9</v>
      </c>
      <c r="B21" s="116" t="s">
        <v>31</v>
      </c>
      <c r="C21" s="219" t="s">
        <v>32</v>
      </c>
      <c r="D21" s="219"/>
      <c r="E21" s="71"/>
      <c r="F21" s="71"/>
      <c r="G21" s="72" t="s">
        <v>33</v>
      </c>
      <c r="H21" s="220" t="s">
        <v>34</v>
      </c>
      <c r="I21" s="220"/>
      <c r="J21" s="73">
        <f>+J26+'MED 02'!J17</f>
        <v>6884.3115779999998</v>
      </c>
      <c r="K21" s="221"/>
      <c r="L21" s="221"/>
      <c r="M21" s="221"/>
      <c r="N21" s="221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89">
        <v>1</v>
      </c>
      <c r="B22" s="74" t="s">
        <v>58</v>
      </c>
      <c r="C22" s="222">
        <v>7</v>
      </c>
      <c r="D22" s="222"/>
      <c r="E22" s="223">
        <f>9.38*C22</f>
        <v>65.660000000000011</v>
      </c>
      <c r="F22" s="224"/>
      <c r="G22" s="225"/>
      <c r="H22" s="81"/>
      <c r="I22" s="82"/>
      <c r="J22" s="82"/>
      <c r="K22" s="83"/>
      <c r="L22" s="84"/>
      <c r="M22" s="85"/>
      <c r="N22" s="8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>
      <c r="A23" s="89">
        <v>2</v>
      </c>
      <c r="B23" s="74" t="s">
        <v>59</v>
      </c>
      <c r="C23" s="209">
        <v>6</v>
      </c>
      <c r="D23" s="209"/>
      <c r="E23" s="210">
        <f>6.5*C23</f>
        <v>39</v>
      </c>
      <c r="F23" s="211"/>
      <c r="G23" s="212"/>
      <c r="H23" s="81"/>
      <c r="I23" s="82"/>
      <c r="J23" s="82"/>
      <c r="K23" s="83"/>
      <c r="L23" s="84"/>
      <c r="M23" s="85"/>
      <c r="N23" s="8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>
      <c r="A24" s="89">
        <v>3</v>
      </c>
      <c r="B24" s="74" t="s">
        <v>60</v>
      </c>
      <c r="C24" s="209">
        <v>2</v>
      </c>
      <c r="D24" s="209"/>
      <c r="E24" s="226">
        <f>62*C24</f>
        <v>124</v>
      </c>
      <c r="F24" s="226"/>
      <c r="G24" s="226"/>
      <c r="H24" s="81"/>
      <c r="I24" s="82"/>
      <c r="J24" s="82"/>
      <c r="K24" s="87"/>
      <c r="L24" s="88"/>
      <c r="M24" s="226"/>
      <c r="N24" s="226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90">
        <v>4</v>
      </c>
      <c r="B25" s="91" t="s">
        <v>61</v>
      </c>
      <c r="C25" s="227"/>
      <c r="D25" s="227"/>
      <c r="E25" s="228">
        <f>57.99*C25</f>
        <v>0</v>
      </c>
      <c r="F25" s="228"/>
      <c r="G25" s="228"/>
      <c r="H25" s="229"/>
      <c r="I25" s="229"/>
      <c r="J25" s="230"/>
      <c r="K25" s="231"/>
      <c r="L25" s="231"/>
      <c r="M25" s="231"/>
      <c r="N25" s="232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24.95" customHeight="1">
      <c r="A26" s="92"/>
      <c r="B26" s="93"/>
      <c r="C26" s="94"/>
      <c r="D26" s="95"/>
      <c r="E26" s="233" t="s">
        <v>35</v>
      </c>
      <c r="F26" s="233"/>
      <c r="G26" s="96">
        <f>+SUM(E22:G25)</f>
        <v>228.66000000000003</v>
      </c>
      <c r="H26" s="234" t="s">
        <v>36</v>
      </c>
      <c r="I26" s="234"/>
      <c r="J26" s="97">
        <f>G28*0.05</f>
        <v>3158.1625779999995</v>
      </c>
      <c r="K26" s="124" t="s">
        <v>37</v>
      </c>
      <c r="L26" s="95"/>
      <c r="M26" s="235">
        <f>M24</f>
        <v>0</v>
      </c>
      <c r="N26" s="235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 ht="24.95" customHeight="1">
      <c r="A27" s="98"/>
      <c r="B27" s="99"/>
      <c r="C27" s="100"/>
      <c r="D27" s="101"/>
      <c r="E27" s="102"/>
      <c r="F27" s="103"/>
      <c r="G27" s="104"/>
      <c r="H27" s="105"/>
      <c r="I27" s="106"/>
      <c r="J27" s="106"/>
      <c r="K27" s="236"/>
      <c r="L27" s="236"/>
      <c r="M27" s="236"/>
      <c r="N27" s="236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 ht="24.95" customHeight="1">
      <c r="A28" s="114"/>
      <c r="B28" s="107" t="s">
        <v>38</v>
      </c>
      <c r="C28" s="108"/>
      <c r="D28" s="68"/>
      <c r="E28" s="237" t="s">
        <v>39</v>
      </c>
      <c r="F28" s="237"/>
      <c r="G28" s="109">
        <f>G20-G26</f>
        <v>63163.25155999999</v>
      </c>
      <c r="H28" s="238" t="s">
        <v>40</v>
      </c>
      <c r="I28" s="238"/>
      <c r="J28" s="123">
        <f>G28-J26</f>
        <v>60005.088981999987</v>
      </c>
      <c r="K28" s="239" t="s">
        <v>41</v>
      </c>
      <c r="L28" s="239"/>
      <c r="M28" s="240">
        <f>+J28-M26</f>
        <v>60005.088981999987</v>
      </c>
      <c r="N28" s="240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 ht="60" customHeight="1">
      <c r="A29" s="143"/>
      <c r="B29" s="19"/>
      <c r="C29" s="19"/>
      <c r="D29" s="19"/>
      <c r="E29" s="19"/>
      <c r="F29" s="19"/>
      <c r="G29" s="148"/>
      <c r="H29" s="14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  <row r="855" spans="15:49"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</row>
    <row r="856" spans="15:49"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</row>
    <row r="857" spans="15:49"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</row>
  </sheetData>
  <mergeCells count="52">
    <mergeCell ref="D1:J1"/>
    <mergeCell ref="D2:F2"/>
    <mergeCell ref="G2:J2"/>
    <mergeCell ref="D3:J3"/>
    <mergeCell ref="H5:J5"/>
    <mergeCell ref="K6:L6"/>
    <mergeCell ref="A7:A9"/>
    <mergeCell ref="B7:B9"/>
    <mergeCell ref="C7:G7"/>
    <mergeCell ref="H7:J7"/>
    <mergeCell ref="K7:L7"/>
    <mergeCell ref="L8:L9"/>
    <mergeCell ref="H6:J6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C23:D23"/>
    <mergeCell ref="E23:G23"/>
    <mergeCell ref="M8:M9"/>
    <mergeCell ref="N8:N9"/>
    <mergeCell ref="A18:D18"/>
    <mergeCell ref="K18:L18"/>
    <mergeCell ref="C20:D20"/>
    <mergeCell ref="H20:J20"/>
    <mergeCell ref="K20:N20"/>
    <mergeCell ref="C21:D21"/>
    <mergeCell ref="H21:I21"/>
    <mergeCell ref="K21:N21"/>
    <mergeCell ref="C22:D22"/>
    <mergeCell ref="E22:G22"/>
    <mergeCell ref="C24:D24"/>
    <mergeCell ref="E24:G24"/>
    <mergeCell ref="M24:N24"/>
    <mergeCell ref="C25:D25"/>
    <mergeCell ref="E25:G25"/>
    <mergeCell ref="H25:J25"/>
    <mergeCell ref="K25:N25"/>
    <mergeCell ref="E26:F26"/>
    <mergeCell ref="H26:I26"/>
    <mergeCell ref="M26:N26"/>
    <mergeCell ref="K27:N27"/>
    <mergeCell ref="E28:F28"/>
    <mergeCell ref="H28:I28"/>
    <mergeCell ref="K28:L28"/>
    <mergeCell ref="M28:N28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F683-EF44-42F9-9710-DB0A568AE3CA}">
  <sheetPr>
    <pageSetUpPr fitToPage="1"/>
  </sheetPr>
  <dimension ref="A1:AW856"/>
  <sheetViews>
    <sheetView tabSelected="1" zoomScale="55" zoomScaleNormal="55" workbookViewId="0">
      <selection sqref="A1:N27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86" t="s">
        <v>0</v>
      </c>
      <c r="E1" s="186"/>
      <c r="F1" s="186"/>
      <c r="G1" s="186"/>
      <c r="H1" s="186"/>
      <c r="I1" s="186"/>
      <c r="J1" s="186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87" t="s">
        <v>1</v>
      </c>
      <c r="E2" s="187"/>
      <c r="F2" s="187"/>
      <c r="G2" s="187" t="s">
        <v>2</v>
      </c>
      <c r="H2" s="187"/>
      <c r="I2" s="187"/>
      <c r="J2" s="187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87" t="s">
        <v>3</v>
      </c>
      <c r="E3" s="187"/>
      <c r="F3" s="187"/>
      <c r="G3" s="187"/>
      <c r="H3" s="187"/>
      <c r="I3" s="187"/>
      <c r="J3" s="187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MBRUM CONSTRUÇÕES LTDA</v>
      </c>
      <c r="C5" s="14"/>
      <c r="D5" s="14"/>
      <c r="E5" s="15"/>
      <c r="F5" s="15"/>
      <c r="G5" s="14"/>
      <c r="H5" s="188" t="s">
        <v>4</v>
      </c>
      <c r="I5" s="188"/>
      <c r="J5" s="188"/>
      <c r="K5" s="16" t="s">
        <v>5</v>
      </c>
      <c r="L5" s="14"/>
      <c r="M5" s="17"/>
      <c r="N5" s="18">
        <v>5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96" t="s">
        <v>62</v>
      </c>
      <c r="I6" s="196"/>
      <c r="J6" s="196"/>
      <c r="K6" s="189" t="s">
        <v>7</v>
      </c>
      <c r="L6" s="189"/>
      <c r="M6" s="24"/>
      <c r="N6" s="110" t="s">
        <v>63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90" t="s">
        <v>9</v>
      </c>
      <c r="B7" s="191" t="s">
        <v>10</v>
      </c>
      <c r="C7" s="192" t="s">
        <v>11</v>
      </c>
      <c r="D7" s="192"/>
      <c r="E7" s="192"/>
      <c r="F7" s="192"/>
      <c r="G7" s="192"/>
      <c r="H7" s="193" t="s">
        <v>12</v>
      </c>
      <c r="I7" s="193"/>
      <c r="J7" s="193"/>
      <c r="K7" s="194" t="s">
        <v>13</v>
      </c>
      <c r="L7" s="194"/>
      <c r="M7" s="197" t="s">
        <v>14</v>
      </c>
      <c r="N7" s="191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90"/>
      <c r="B8" s="191"/>
      <c r="C8" s="198" t="s">
        <v>15</v>
      </c>
      <c r="D8" s="199" t="s">
        <v>16</v>
      </c>
      <c r="E8" s="200" t="s">
        <v>21</v>
      </c>
      <c r="F8" s="202" t="s">
        <v>22</v>
      </c>
      <c r="G8" s="204" t="s">
        <v>17</v>
      </c>
      <c r="H8" s="205" t="s">
        <v>16</v>
      </c>
      <c r="I8" s="206" t="s">
        <v>21</v>
      </c>
      <c r="J8" s="195" t="s">
        <v>18</v>
      </c>
      <c r="K8" s="208" t="s">
        <v>16</v>
      </c>
      <c r="L8" s="195" t="s">
        <v>19</v>
      </c>
      <c r="M8" s="197" t="s">
        <v>20</v>
      </c>
      <c r="N8" s="191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90"/>
      <c r="B9" s="191"/>
      <c r="C9" s="198"/>
      <c r="D9" s="199"/>
      <c r="E9" s="201"/>
      <c r="F9" s="203"/>
      <c r="G9" s="204"/>
      <c r="H9" s="204"/>
      <c r="I9" s="207"/>
      <c r="J9" s="195"/>
      <c r="K9" s="208"/>
      <c r="L9" s="195"/>
      <c r="M9" s="197"/>
      <c r="N9" s="191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323.73</v>
      </c>
      <c r="F10" s="118"/>
      <c r="G10" s="34">
        <f>E10</f>
        <v>323.73</v>
      </c>
      <c r="H10" s="35">
        <f>Auxiliar!F68</f>
        <v>35</v>
      </c>
      <c r="I10" s="119">
        <f>+E10</f>
        <v>323.73</v>
      </c>
      <c r="J10" s="36">
        <f>+I10*H10</f>
        <v>11330.550000000001</v>
      </c>
      <c r="K10" s="176">
        <f>+H10+'MED 04'!K10</f>
        <v>136</v>
      </c>
      <c r="L10" s="38">
        <f>+K10*I10</f>
        <v>44027.28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30">
        <v>2</v>
      </c>
      <c r="B11" s="31" t="s">
        <v>25</v>
      </c>
      <c r="C11" s="120" t="s">
        <v>24</v>
      </c>
      <c r="D11" s="32">
        <v>1</v>
      </c>
      <c r="E11" s="33">
        <v>443.63</v>
      </c>
      <c r="F11" s="44"/>
      <c r="G11" s="34">
        <f>E11</f>
        <v>443.63</v>
      </c>
      <c r="H11" s="35">
        <f>Auxiliar!E68</f>
        <v>16</v>
      </c>
      <c r="I11" s="121">
        <f>+E11</f>
        <v>443.63</v>
      </c>
      <c r="J11" s="36">
        <f>+I11*H11</f>
        <v>7098.08</v>
      </c>
      <c r="K11" s="176">
        <f>+H11+'MED 04'!K11</f>
        <v>43</v>
      </c>
      <c r="L11" s="38">
        <f>+K11*I11</f>
        <v>19076.09</v>
      </c>
      <c r="M11" s="39"/>
      <c r="N11" s="4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30">
        <v>3</v>
      </c>
      <c r="B12" s="31" t="s">
        <v>26</v>
      </c>
      <c r="C12" s="120" t="s">
        <v>24</v>
      </c>
      <c r="D12" s="32">
        <v>1</v>
      </c>
      <c r="E12" s="33">
        <v>477.42</v>
      </c>
      <c r="F12" s="44"/>
      <c r="G12" s="34">
        <f>E12</f>
        <v>477.42</v>
      </c>
      <c r="H12" s="35">
        <f>Auxiliar!C68</f>
        <v>71</v>
      </c>
      <c r="I12" s="144">
        <f>+E12</f>
        <v>477.42</v>
      </c>
      <c r="J12" s="36">
        <f>+I12*H12</f>
        <v>33896.82</v>
      </c>
      <c r="K12" s="176">
        <f>+H12+'MED 04'!K12</f>
        <v>186</v>
      </c>
      <c r="L12" s="38">
        <f>+K12*I12</f>
        <v>88800.12000000001</v>
      </c>
      <c r="M12" s="39"/>
      <c r="N12" s="4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30">
        <v>4</v>
      </c>
      <c r="B13" s="31" t="s">
        <v>51</v>
      </c>
      <c r="C13" s="120" t="s">
        <v>52</v>
      </c>
      <c r="D13" s="32">
        <v>1</v>
      </c>
      <c r="E13" s="33">
        <v>39.93</v>
      </c>
      <c r="F13" s="44"/>
      <c r="G13" s="34">
        <f>E13*D13</f>
        <v>39.93</v>
      </c>
      <c r="H13" s="163">
        <f>Auxiliar!M55</f>
        <v>123.35999999999999</v>
      </c>
      <c r="I13" s="144">
        <f>+E13</f>
        <v>39.93</v>
      </c>
      <c r="J13" s="36">
        <f>+I13*H13</f>
        <v>4925.764799999999</v>
      </c>
      <c r="K13" s="176">
        <f>+H13+'MED 04'!K13</f>
        <v>248.57999999999998</v>
      </c>
      <c r="L13" s="38">
        <f t="shared" ref="L11:L16" si="0">+K13*I13</f>
        <v>9925.7993999999999</v>
      </c>
      <c r="M13" s="39"/>
      <c r="N13" s="40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30">
        <v>5</v>
      </c>
      <c r="B14" s="31" t="s">
        <v>64</v>
      </c>
      <c r="C14" s="120" t="s">
        <v>52</v>
      </c>
      <c r="D14" s="32">
        <v>1</v>
      </c>
      <c r="E14" s="33">
        <v>45.98</v>
      </c>
      <c r="F14" s="44"/>
      <c r="G14" s="34">
        <f t="shared" ref="G14:G16" si="1">E14*D14</f>
        <v>45.98</v>
      </c>
      <c r="H14" s="35">
        <f>Auxiliar!M56</f>
        <v>6.6639999999999997</v>
      </c>
      <c r="I14" s="119">
        <f>+E14</f>
        <v>45.98</v>
      </c>
      <c r="J14" s="36">
        <f t="shared" ref="J14:J16" si="2">+I14*H14</f>
        <v>306.41071999999997</v>
      </c>
      <c r="K14" s="176">
        <f>+H14</f>
        <v>6.6639999999999997</v>
      </c>
      <c r="L14" s="38">
        <f t="shared" si="0"/>
        <v>306.41071999999997</v>
      </c>
      <c r="M14" s="39"/>
      <c r="N14" s="40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30">
        <v>6</v>
      </c>
      <c r="B15" s="31" t="s">
        <v>56</v>
      </c>
      <c r="C15" s="120" t="s">
        <v>55</v>
      </c>
      <c r="D15" s="32">
        <v>1</v>
      </c>
      <c r="E15" s="33">
        <v>12.1</v>
      </c>
      <c r="F15" s="44"/>
      <c r="G15" s="34">
        <f t="shared" si="1"/>
        <v>12.1</v>
      </c>
      <c r="H15" s="35">
        <f>Auxiliar!M57</f>
        <v>13.6328</v>
      </c>
      <c r="I15" s="121">
        <f>+E15</f>
        <v>12.1</v>
      </c>
      <c r="J15" s="36">
        <f t="shared" si="2"/>
        <v>164.95687999999998</v>
      </c>
      <c r="K15" s="176">
        <f>+H15+'MED 04'!K16</f>
        <v>27.265599999999999</v>
      </c>
      <c r="L15" s="38">
        <f t="shared" si="0"/>
        <v>329.91375999999997</v>
      </c>
      <c r="M15" s="39"/>
      <c r="N15" s="4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24.95" customHeight="1">
      <c r="A16" s="30">
        <v>7</v>
      </c>
      <c r="B16" s="31" t="s">
        <v>65</v>
      </c>
      <c r="C16" s="120" t="s">
        <v>52</v>
      </c>
      <c r="D16" s="32">
        <v>1</v>
      </c>
      <c r="E16" s="33">
        <v>9.8000000000000007</v>
      </c>
      <c r="F16" s="44"/>
      <c r="G16" s="34">
        <f t="shared" si="1"/>
        <v>9.8000000000000007</v>
      </c>
      <c r="H16" s="35">
        <f>Auxiliar!M58</f>
        <v>5.2459999999999996</v>
      </c>
      <c r="I16" s="121">
        <f t="shared" ref="I16" si="3">+E16</f>
        <v>9.8000000000000007</v>
      </c>
      <c r="J16" s="36">
        <f t="shared" si="2"/>
        <v>51.410800000000002</v>
      </c>
      <c r="K16" s="176">
        <f>+H16</f>
        <v>5.2459999999999996</v>
      </c>
      <c r="L16" s="38">
        <f t="shared" si="0"/>
        <v>51.410800000000002</v>
      </c>
      <c r="M16" s="39"/>
      <c r="N16" s="4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24.95" customHeight="1">
      <c r="A17" s="213"/>
      <c r="B17" s="213"/>
      <c r="C17" s="213"/>
      <c r="D17" s="213"/>
      <c r="E17" s="55"/>
      <c r="F17" s="56"/>
      <c r="G17" s="57">
        <f>SUM(G10:G16)</f>
        <v>1352.59</v>
      </c>
      <c r="H17" s="58"/>
      <c r="I17" s="59"/>
      <c r="J17" s="60">
        <f>SUM(J10:J16)</f>
        <v>57773.99319999999</v>
      </c>
      <c r="K17" s="214" t="s">
        <v>27</v>
      </c>
      <c r="L17" s="215"/>
      <c r="M17" s="61">
        <f>+SUM(L10:L16)</f>
        <v>162517.02468</v>
      </c>
      <c r="N17" s="62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24.95" customHeight="1">
      <c r="A18" s="63"/>
      <c r="B18" s="64"/>
      <c r="C18" s="64"/>
      <c r="D18" s="64"/>
      <c r="E18" s="65"/>
      <c r="F18" s="65"/>
      <c r="G18" s="65"/>
      <c r="H18" s="66"/>
      <c r="I18" s="65"/>
      <c r="J18" s="65"/>
      <c r="K18" s="65"/>
      <c r="L18" s="64"/>
      <c r="M18" s="65"/>
      <c r="N18" s="6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30" customHeight="1">
      <c r="A19" s="115"/>
      <c r="B19" s="115" t="s">
        <v>28</v>
      </c>
      <c r="C19" s="216"/>
      <c r="D19" s="216"/>
      <c r="E19" s="68"/>
      <c r="F19" s="68"/>
      <c r="G19" s="69">
        <f>J17</f>
        <v>57773.99319999999</v>
      </c>
      <c r="H19" s="217" t="s">
        <v>29</v>
      </c>
      <c r="I19" s="217"/>
      <c r="J19" s="217"/>
      <c r="K19" s="218" t="s">
        <v>30</v>
      </c>
      <c r="L19" s="218"/>
      <c r="M19" s="218"/>
      <c r="N19" s="218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30" customHeight="1">
      <c r="A20" s="70" t="s">
        <v>9</v>
      </c>
      <c r="B20" s="116" t="s">
        <v>31</v>
      </c>
      <c r="C20" s="219" t="s">
        <v>32</v>
      </c>
      <c r="D20" s="219"/>
      <c r="E20" s="71"/>
      <c r="F20" s="71"/>
      <c r="G20" s="72" t="s">
        <v>33</v>
      </c>
      <c r="H20" s="220" t="s">
        <v>34</v>
      </c>
      <c r="I20" s="220"/>
      <c r="J20" s="73">
        <f>+J25+'MED 04'!J21</f>
        <v>9756.6912379999994</v>
      </c>
      <c r="K20" s="221"/>
      <c r="L20" s="221"/>
      <c r="M20" s="221"/>
      <c r="N20" s="221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9">
        <v>1</v>
      </c>
      <c r="B21" s="74" t="s">
        <v>58</v>
      </c>
      <c r="C21" s="222">
        <v>10</v>
      </c>
      <c r="D21" s="222"/>
      <c r="E21" s="223">
        <f>9.38*C21</f>
        <v>93.800000000000011</v>
      </c>
      <c r="F21" s="224"/>
      <c r="G21" s="225"/>
      <c r="H21" s="81"/>
      <c r="I21" s="82"/>
      <c r="J21" s="82"/>
      <c r="K21" s="83"/>
      <c r="L21" s="84"/>
      <c r="M21" s="85"/>
      <c r="N21" s="8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89">
        <v>2</v>
      </c>
      <c r="B22" s="74" t="s">
        <v>59</v>
      </c>
      <c r="C22" s="209">
        <v>4</v>
      </c>
      <c r="D22" s="209"/>
      <c r="E22" s="210">
        <f>6.5*C22</f>
        <v>26</v>
      </c>
      <c r="F22" s="211"/>
      <c r="G22" s="212"/>
      <c r="H22" s="81"/>
      <c r="I22" s="82"/>
      <c r="J22" s="82"/>
      <c r="K22" s="83"/>
      <c r="L22" s="84"/>
      <c r="M22" s="85"/>
      <c r="N22" s="8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>
      <c r="A23" s="89">
        <v>3</v>
      </c>
      <c r="B23" s="74" t="s">
        <v>60</v>
      </c>
      <c r="C23" s="209">
        <v>3</v>
      </c>
      <c r="D23" s="209"/>
      <c r="E23" s="226">
        <f>62*C23</f>
        <v>186</v>
      </c>
      <c r="F23" s="226"/>
      <c r="G23" s="226"/>
      <c r="H23" s="81"/>
      <c r="I23" s="82"/>
      <c r="J23" s="82"/>
      <c r="K23" s="87"/>
      <c r="L23" s="88"/>
      <c r="M23" s="226"/>
      <c r="N23" s="226"/>
      <c r="O23" s="19"/>
      <c r="P23" s="19"/>
      <c r="Q23" s="149">
        <f>M27-50001.19</f>
        <v>4574.0235399999874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>
      <c r="A24" s="90">
        <v>4</v>
      </c>
      <c r="B24" s="91" t="s">
        <v>66</v>
      </c>
      <c r="C24" s="227">
        <v>2</v>
      </c>
      <c r="D24" s="227"/>
      <c r="E24" s="228">
        <f>10.3*C24</f>
        <v>20.6</v>
      </c>
      <c r="F24" s="228"/>
      <c r="G24" s="228"/>
      <c r="H24" s="229"/>
      <c r="I24" s="229"/>
      <c r="J24" s="230"/>
      <c r="K24" s="231"/>
      <c r="L24" s="231"/>
      <c r="M24" s="231"/>
      <c r="N24" s="232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>
      <c r="A25" s="92"/>
      <c r="B25" s="93"/>
      <c r="C25" s="94"/>
      <c r="D25" s="95"/>
      <c r="E25" s="233" t="s">
        <v>35</v>
      </c>
      <c r="F25" s="233"/>
      <c r="G25" s="96">
        <f>+SUM(E21:G24)</f>
        <v>326.40000000000003</v>
      </c>
      <c r="H25" s="234" t="s">
        <v>36</v>
      </c>
      <c r="I25" s="234"/>
      <c r="J25" s="97">
        <f>G27*0.05</f>
        <v>2872.3796599999996</v>
      </c>
      <c r="K25" s="124" t="s">
        <v>37</v>
      </c>
      <c r="L25" s="95"/>
      <c r="M25" s="235">
        <f>M23</f>
        <v>0</v>
      </c>
      <c r="N25" s="235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24.95" customHeight="1">
      <c r="A26" s="98"/>
      <c r="B26" s="99"/>
      <c r="C26" s="100"/>
      <c r="D26" s="101"/>
      <c r="E26" s="102"/>
      <c r="F26" s="103"/>
      <c r="G26" s="104"/>
      <c r="H26" s="105"/>
      <c r="I26" s="106"/>
      <c r="J26" s="106"/>
      <c r="K26" s="236"/>
      <c r="L26" s="236"/>
      <c r="M26" s="236"/>
      <c r="N26" s="236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 ht="24.95" customHeight="1">
      <c r="A27" s="114"/>
      <c r="B27" s="107" t="s">
        <v>38</v>
      </c>
      <c r="C27" s="108"/>
      <c r="D27" s="68"/>
      <c r="E27" s="237" t="s">
        <v>39</v>
      </c>
      <c r="F27" s="237"/>
      <c r="G27" s="109">
        <f>G19-G25</f>
        <v>57447.593199999988</v>
      </c>
      <c r="H27" s="238" t="s">
        <v>40</v>
      </c>
      <c r="I27" s="238"/>
      <c r="J27" s="123">
        <f>G27-J25</f>
        <v>54575.21353999999</v>
      </c>
      <c r="K27" s="239" t="s">
        <v>41</v>
      </c>
      <c r="L27" s="239"/>
      <c r="M27" s="240">
        <f>+J27-M25</f>
        <v>54575.21353999999</v>
      </c>
      <c r="N27" s="240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 ht="60" customHeight="1">
      <c r="A28" s="143"/>
      <c r="B28" s="19"/>
      <c r="C28" s="19"/>
      <c r="D28" s="19"/>
      <c r="E28" s="19"/>
      <c r="F28" s="19"/>
      <c r="G28" s="148"/>
      <c r="H28" s="14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  <row r="855" spans="15:49"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</row>
    <row r="856" spans="15:49"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</row>
  </sheetData>
  <mergeCells count="52">
    <mergeCell ref="E25:F25"/>
    <mergeCell ref="H25:I25"/>
    <mergeCell ref="M25:N25"/>
    <mergeCell ref="K26:N26"/>
    <mergeCell ref="E27:F27"/>
    <mergeCell ref="H27:I27"/>
    <mergeCell ref="K27:L27"/>
    <mergeCell ref="M27:N27"/>
    <mergeCell ref="C23:D23"/>
    <mergeCell ref="E23:G23"/>
    <mergeCell ref="M23:N23"/>
    <mergeCell ref="C24:D24"/>
    <mergeCell ref="E24:G24"/>
    <mergeCell ref="H24:J24"/>
    <mergeCell ref="K24:N24"/>
    <mergeCell ref="C22:D22"/>
    <mergeCell ref="E22:G22"/>
    <mergeCell ref="M8:M9"/>
    <mergeCell ref="N8:N9"/>
    <mergeCell ref="A17:D17"/>
    <mergeCell ref="K17:L17"/>
    <mergeCell ref="C19:D19"/>
    <mergeCell ref="H19:J19"/>
    <mergeCell ref="K19:N19"/>
    <mergeCell ref="C20:D20"/>
    <mergeCell ref="H20:I20"/>
    <mergeCell ref="K20:N20"/>
    <mergeCell ref="C21:D21"/>
    <mergeCell ref="E21:G21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K6:L6"/>
    <mergeCell ref="A7:A9"/>
    <mergeCell ref="B7:B9"/>
    <mergeCell ref="C7:G7"/>
    <mergeCell ref="H7:J7"/>
    <mergeCell ref="K7:L7"/>
    <mergeCell ref="L8:L9"/>
    <mergeCell ref="H6:J6"/>
    <mergeCell ref="D1:J1"/>
    <mergeCell ref="D2:F2"/>
    <mergeCell ref="G2:J2"/>
    <mergeCell ref="D3:J3"/>
    <mergeCell ref="H5:J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C9BB-2DFF-457D-A9D1-61FE55D1BBA2}">
  <dimension ref="B2:S74"/>
  <sheetViews>
    <sheetView topLeftCell="A50" workbookViewId="0">
      <selection activeCell="L67" sqref="L67"/>
    </sheetView>
  </sheetViews>
  <sheetFormatPr defaultRowHeight="15"/>
  <cols>
    <col min="2" max="2" width="11.42578125" bestFit="1" customWidth="1"/>
    <col min="4" max="4" width="13" bestFit="1" customWidth="1"/>
    <col min="5" max="5" width="11.42578125" bestFit="1" customWidth="1"/>
    <col min="6" max="6" width="10.42578125" bestFit="1" customWidth="1"/>
    <col min="8" max="8" width="51.28515625" customWidth="1"/>
    <col min="9" max="9" width="19.42578125" customWidth="1"/>
    <col min="10" max="10" width="12.5703125" bestFit="1" customWidth="1"/>
    <col min="11" max="11" width="9.28515625" customWidth="1"/>
    <col min="12" max="12" width="19.42578125" bestFit="1" customWidth="1"/>
    <col min="15" max="15" width="14.42578125" customWidth="1"/>
    <col min="16" max="16" width="44.42578125" customWidth="1"/>
    <col min="17" max="17" width="17.7109375" customWidth="1"/>
  </cols>
  <sheetData>
    <row r="2" spans="2:6">
      <c r="B2" s="245" t="s">
        <v>67</v>
      </c>
      <c r="C2" s="246"/>
      <c r="D2" s="246"/>
      <c r="E2" s="246"/>
      <c r="F2" s="247"/>
    </row>
    <row r="3" spans="2:6">
      <c r="B3" s="125" t="s">
        <v>68</v>
      </c>
      <c r="C3" s="126" t="s">
        <v>68</v>
      </c>
      <c r="D3" s="126" t="s">
        <v>68</v>
      </c>
      <c r="E3" s="126" t="s">
        <v>68</v>
      </c>
      <c r="F3" s="127" t="s">
        <v>68</v>
      </c>
    </row>
    <row r="4" spans="2:6">
      <c r="B4" s="125" t="s">
        <v>68</v>
      </c>
      <c r="C4" s="128" t="s">
        <v>69</v>
      </c>
      <c r="D4" s="128" t="s">
        <v>70</v>
      </c>
      <c r="E4" s="128" t="s">
        <v>71</v>
      </c>
      <c r="F4" s="129" t="s">
        <v>72</v>
      </c>
    </row>
    <row r="5" spans="2:6">
      <c r="B5" s="130">
        <v>46056</v>
      </c>
      <c r="C5" s="128"/>
      <c r="D5" s="128"/>
      <c r="E5" s="128"/>
      <c r="F5" s="129"/>
    </row>
    <row r="6" spans="2:6">
      <c r="B6" s="130">
        <v>46057</v>
      </c>
      <c r="C6" s="128"/>
      <c r="D6" s="128"/>
      <c r="E6" s="128"/>
      <c r="F6" s="129"/>
    </row>
    <row r="7" spans="2:6">
      <c r="B7" s="130">
        <v>46058</v>
      </c>
      <c r="C7" s="128"/>
      <c r="D7" s="128"/>
      <c r="E7" s="128"/>
      <c r="F7" s="129"/>
    </row>
    <row r="8" spans="2:6">
      <c r="B8" s="130">
        <v>46059</v>
      </c>
      <c r="C8" s="126"/>
      <c r="D8" s="126"/>
      <c r="E8" s="126"/>
      <c r="F8" s="127"/>
    </row>
    <row r="9" spans="2:6">
      <c r="B9" s="130">
        <v>46062</v>
      </c>
      <c r="C9" s="126">
        <v>2</v>
      </c>
      <c r="D9" s="126"/>
      <c r="E9" s="126"/>
      <c r="F9" s="127">
        <v>1</v>
      </c>
    </row>
    <row r="10" spans="2:6">
      <c r="B10" s="130">
        <v>46063</v>
      </c>
      <c r="C10" s="126">
        <v>2</v>
      </c>
      <c r="D10" s="126"/>
      <c r="E10" s="126"/>
      <c r="F10" s="127">
        <v>1</v>
      </c>
    </row>
    <row r="11" spans="2:6">
      <c r="B11" s="130">
        <v>46064</v>
      </c>
      <c r="C11" s="126">
        <v>4</v>
      </c>
      <c r="D11" s="126"/>
      <c r="E11" s="126">
        <v>1</v>
      </c>
      <c r="F11" s="127">
        <v>3</v>
      </c>
    </row>
    <row r="12" spans="2:6">
      <c r="B12" s="130">
        <v>46065</v>
      </c>
      <c r="C12" s="126">
        <v>4</v>
      </c>
      <c r="D12" s="126"/>
      <c r="E12" s="126"/>
      <c r="F12" s="127">
        <v>4</v>
      </c>
    </row>
    <row r="13" spans="2:6">
      <c r="B13" s="130">
        <v>46066</v>
      </c>
      <c r="C13" s="126">
        <v>4</v>
      </c>
      <c r="D13" s="126"/>
      <c r="E13" s="126">
        <v>1</v>
      </c>
      <c r="F13" s="127">
        <v>4</v>
      </c>
    </row>
    <row r="14" spans="2:6">
      <c r="B14" s="130">
        <v>46069</v>
      </c>
      <c r="C14" s="126"/>
      <c r="D14" s="126"/>
      <c r="E14" s="126">
        <v>1</v>
      </c>
      <c r="F14" s="127"/>
    </row>
    <row r="15" spans="2:6">
      <c r="B15" s="130">
        <v>46070</v>
      </c>
      <c r="C15" s="126"/>
      <c r="D15" s="126"/>
      <c r="E15" s="126"/>
      <c r="F15" s="127"/>
    </row>
    <row r="16" spans="2:6">
      <c r="B16" s="130">
        <v>46071</v>
      </c>
      <c r="C16" s="126">
        <v>4</v>
      </c>
      <c r="D16" s="126"/>
      <c r="E16" s="126">
        <v>1</v>
      </c>
      <c r="F16" s="127">
        <v>2</v>
      </c>
    </row>
    <row r="17" spans="2:19">
      <c r="B17" s="130">
        <v>46072</v>
      </c>
      <c r="C17" s="126">
        <v>4</v>
      </c>
      <c r="D17" s="126"/>
      <c r="E17" s="126">
        <v>1</v>
      </c>
      <c r="F17" s="127">
        <v>3</v>
      </c>
      <c r="K17" s="141"/>
      <c r="S17" s="141"/>
    </row>
    <row r="18" spans="2:19">
      <c r="B18" s="130">
        <v>46073</v>
      </c>
      <c r="C18" s="126">
        <v>4</v>
      </c>
      <c r="D18" s="126"/>
      <c r="E18" s="126">
        <v>1</v>
      </c>
      <c r="F18" s="127">
        <v>4</v>
      </c>
      <c r="K18" s="141"/>
      <c r="S18" s="141"/>
    </row>
    <row r="19" spans="2:19">
      <c r="B19" s="131">
        <v>46076</v>
      </c>
      <c r="C19" s="126">
        <v>4</v>
      </c>
      <c r="D19" s="126"/>
      <c r="E19" s="126">
        <v>1</v>
      </c>
      <c r="F19" s="127">
        <v>6</v>
      </c>
      <c r="K19" s="141"/>
      <c r="S19" s="141"/>
    </row>
    <row r="20" spans="2:19">
      <c r="B20" s="131">
        <v>46077</v>
      </c>
      <c r="C20" s="126">
        <v>3</v>
      </c>
      <c r="D20" s="126"/>
      <c r="E20" s="126">
        <v>1</v>
      </c>
      <c r="F20" s="127">
        <v>5</v>
      </c>
    </row>
    <row r="21" spans="2:19">
      <c r="B21" s="132" t="s">
        <v>73</v>
      </c>
      <c r="C21" s="133">
        <f>SUM(C5:C20)</f>
        <v>35</v>
      </c>
      <c r="D21" s="133">
        <f t="shared" ref="D21:F21" si="0">SUM(D5:D20)</f>
        <v>0</v>
      </c>
      <c r="E21" s="133">
        <f t="shared" si="0"/>
        <v>8</v>
      </c>
      <c r="F21" s="133">
        <f t="shared" si="0"/>
        <v>33</v>
      </c>
    </row>
    <row r="23" spans="2:19">
      <c r="B23" s="248" t="s">
        <v>74</v>
      </c>
      <c r="C23" s="249"/>
      <c r="D23" s="249"/>
      <c r="E23" s="249"/>
      <c r="F23" s="250"/>
      <c r="P23" s="141"/>
      <c r="Q23" s="141"/>
      <c r="S23" s="141"/>
    </row>
    <row r="24" spans="2:19">
      <c r="B24" s="134" t="s">
        <v>68</v>
      </c>
      <c r="C24" s="126" t="s">
        <v>68</v>
      </c>
      <c r="D24" s="126" t="s">
        <v>68</v>
      </c>
      <c r="E24" s="126" t="s">
        <v>68</v>
      </c>
      <c r="F24" s="135" t="s">
        <v>68</v>
      </c>
      <c r="S24" s="141"/>
    </row>
    <row r="25" spans="2:19">
      <c r="B25" s="134" t="s">
        <v>68</v>
      </c>
      <c r="C25" s="128" t="s">
        <v>69</v>
      </c>
      <c r="D25" s="128" t="s">
        <v>70</v>
      </c>
      <c r="E25" s="128" t="s">
        <v>71</v>
      </c>
      <c r="F25" s="136" t="s">
        <v>72</v>
      </c>
      <c r="S25" s="141"/>
    </row>
    <row r="26" spans="2:19">
      <c r="B26" s="137">
        <v>46077</v>
      </c>
      <c r="C26" s="128">
        <v>4</v>
      </c>
      <c r="D26" s="128"/>
      <c r="E26" s="128">
        <v>2</v>
      </c>
      <c r="F26" s="136">
        <v>6</v>
      </c>
    </row>
    <row r="27" spans="2:19">
      <c r="B27" s="137">
        <v>46078</v>
      </c>
      <c r="C27" s="128">
        <v>7</v>
      </c>
      <c r="D27" s="128"/>
      <c r="E27" s="128"/>
      <c r="F27" s="136">
        <v>3</v>
      </c>
    </row>
    <row r="28" spans="2:19">
      <c r="B28" s="137">
        <v>46079</v>
      </c>
      <c r="C28" s="128">
        <v>6</v>
      </c>
      <c r="D28" s="128"/>
      <c r="E28" s="128">
        <v>1</v>
      </c>
      <c r="F28" s="136">
        <v>4</v>
      </c>
    </row>
    <row r="29" spans="2:19">
      <c r="B29" s="137">
        <v>46080</v>
      </c>
      <c r="C29" s="126">
        <v>7</v>
      </c>
      <c r="D29" s="126"/>
      <c r="E29" s="126">
        <v>1</v>
      </c>
      <c r="F29" s="135">
        <v>5</v>
      </c>
    </row>
    <row r="30" spans="2:19">
      <c r="B30" s="137">
        <v>46083</v>
      </c>
      <c r="C30" s="126">
        <v>5</v>
      </c>
      <c r="D30" s="126"/>
      <c r="E30" s="126">
        <v>1</v>
      </c>
      <c r="F30" s="135">
        <v>6</v>
      </c>
    </row>
    <row r="31" spans="2:19">
      <c r="B31" s="137">
        <v>46084</v>
      </c>
      <c r="C31" s="126">
        <v>4</v>
      </c>
      <c r="D31" s="126"/>
      <c r="E31" s="126">
        <v>1</v>
      </c>
      <c r="F31" s="135">
        <v>6</v>
      </c>
    </row>
    <row r="32" spans="2:19">
      <c r="B32" s="137">
        <v>46085</v>
      </c>
      <c r="C32" s="126">
        <v>2</v>
      </c>
      <c r="D32" s="126"/>
      <c r="E32" s="126">
        <v>1</v>
      </c>
      <c r="F32" s="135">
        <v>6</v>
      </c>
    </row>
    <row r="33" spans="2:11">
      <c r="B33" s="137">
        <v>46086</v>
      </c>
      <c r="C33" s="126">
        <v>3</v>
      </c>
      <c r="D33" s="126"/>
      <c r="E33" s="126">
        <v>1</v>
      </c>
      <c r="F33" s="135">
        <v>7</v>
      </c>
    </row>
    <row r="34" spans="2:11">
      <c r="B34" s="137">
        <v>46087</v>
      </c>
      <c r="C34" s="126">
        <v>4</v>
      </c>
      <c r="D34" s="126"/>
      <c r="E34" s="126">
        <v>1</v>
      </c>
      <c r="F34" s="135">
        <v>7</v>
      </c>
    </row>
    <row r="35" spans="2:11">
      <c r="B35" s="145" t="s">
        <v>75</v>
      </c>
      <c r="C35" s="146">
        <v>5</v>
      </c>
      <c r="D35" s="146"/>
      <c r="E35" s="146">
        <v>7</v>
      </c>
      <c r="F35" s="147">
        <v>2</v>
      </c>
    </row>
    <row r="36" spans="2:11">
      <c r="B36" s="138" t="s">
        <v>73</v>
      </c>
      <c r="C36" s="139">
        <f>SUM(C26:C35)</f>
        <v>47</v>
      </c>
      <c r="D36" s="139">
        <f>SUM(D26:D34)</f>
        <v>0</v>
      </c>
      <c r="E36" s="139">
        <f>SUM(E26:E35)</f>
        <v>16</v>
      </c>
      <c r="F36" s="140">
        <f>SUM(F26:F35)</f>
        <v>52</v>
      </c>
    </row>
    <row r="38" spans="2:11">
      <c r="B38" s="248" t="s">
        <v>76</v>
      </c>
      <c r="C38" s="249"/>
      <c r="D38" s="249"/>
      <c r="E38" s="249"/>
      <c r="F38" s="250"/>
    </row>
    <row r="39" spans="2:11">
      <c r="B39" s="134" t="s">
        <v>68</v>
      </c>
      <c r="C39" s="126" t="s">
        <v>68</v>
      </c>
      <c r="D39" s="126" t="s">
        <v>68</v>
      </c>
      <c r="E39" s="126" t="s">
        <v>68</v>
      </c>
      <c r="F39" s="135" t="s">
        <v>68</v>
      </c>
    </row>
    <row r="40" spans="2:11">
      <c r="B40" s="134" t="s">
        <v>68</v>
      </c>
      <c r="C40" s="128" t="s">
        <v>69</v>
      </c>
      <c r="D40" s="128" t="s">
        <v>70</v>
      </c>
      <c r="E40" s="128" t="s">
        <v>71</v>
      </c>
      <c r="F40" s="136" t="s">
        <v>72</v>
      </c>
    </row>
    <row r="41" spans="2:11">
      <c r="B41" s="137">
        <v>46090</v>
      </c>
      <c r="C41" s="128">
        <v>5</v>
      </c>
      <c r="D41" s="128"/>
      <c r="E41" s="128">
        <v>1</v>
      </c>
      <c r="F41" s="136">
        <v>7</v>
      </c>
      <c r="K41">
        <f>4+4+5</f>
        <v>13</v>
      </c>
    </row>
    <row r="42" spans="2:11">
      <c r="B42" s="137">
        <v>46091</v>
      </c>
      <c r="C42" s="128">
        <v>5</v>
      </c>
      <c r="D42" s="128"/>
      <c r="E42" s="128">
        <v>1</v>
      </c>
      <c r="F42" s="136">
        <v>6</v>
      </c>
      <c r="J42">
        <f>13/3</f>
        <v>4.333333333333333</v>
      </c>
    </row>
    <row r="43" spans="2:11">
      <c r="B43" s="137">
        <v>46092</v>
      </c>
      <c r="C43" s="128">
        <v>4</v>
      </c>
      <c r="D43" s="128"/>
      <c r="E43" s="128">
        <v>1</v>
      </c>
      <c r="F43" s="136">
        <v>7</v>
      </c>
    </row>
    <row r="44" spans="2:11">
      <c r="B44" s="137">
        <v>46093</v>
      </c>
      <c r="C44" s="126">
        <v>6</v>
      </c>
      <c r="D44" s="126"/>
      <c r="E44" s="126">
        <v>1</v>
      </c>
      <c r="F44" s="135">
        <v>5</v>
      </c>
    </row>
    <row r="45" spans="2:11">
      <c r="B45" s="137">
        <v>46094</v>
      </c>
      <c r="C45" s="126">
        <v>3</v>
      </c>
      <c r="D45" s="126"/>
      <c r="E45" s="126">
        <v>1</v>
      </c>
      <c r="F45" s="135">
        <v>5</v>
      </c>
    </row>
    <row r="46" spans="2:11">
      <c r="B46" s="137">
        <v>46097</v>
      </c>
      <c r="C46" s="126">
        <v>4</v>
      </c>
      <c r="D46" s="126"/>
      <c r="E46" s="126">
        <v>1</v>
      </c>
      <c r="F46" s="135">
        <v>5</v>
      </c>
    </row>
    <row r="47" spans="2:11">
      <c r="B47" s="137">
        <v>46098</v>
      </c>
      <c r="C47" s="126">
        <v>3</v>
      </c>
      <c r="D47" s="126"/>
      <c r="E47" s="126">
        <v>1</v>
      </c>
      <c r="F47" s="135">
        <v>6</v>
      </c>
    </row>
    <row r="48" spans="2:11">
      <c r="B48" s="137">
        <v>46099</v>
      </c>
      <c r="C48" s="126">
        <v>3</v>
      </c>
      <c r="D48" s="126"/>
      <c r="E48" s="126">
        <v>1</v>
      </c>
      <c r="F48" s="135">
        <v>6</v>
      </c>
    </row>
    <row r="49" spans="2:17">
      <c r="B49" s="137">
        <v>46100</v>
      </c>
      <c r="C49" s="126">
        <v>4</v>
      </c>
      <c r="D49" s="126"/>
      <c r="E49" s="126">
        <v>1</v>
      </c>
      <c r="F49" s="135">
        <v>6</v>
      </c>
    </row>
    <row r="50" spans="2:17">
      <c r="B50" s="137">
        <v>46101</v>
      </c>
      <c r="C50" s="146">
        <v>3</v>
      </c>
      <c r="D50" s="146"/>
      <c r="E50" s="146">
        <v>1</v>
      </c>
      <c r="F50" s="147">
        <v>5</v>
      </c>
    </row>
    <row r="51" spans="2:17">
      <c r="B51" s="145">
        <v>46104</v>
      </c>
      <c r="C51" s="146">
        <v>4</v>
      </c>
      <c r="D51" s="146"/>
      <c r="E51" s="146">
        <v>1</v>
      </c>
      <c r="F51" s="147">
        <v>8</v>
      </c>
    </row>
    <row r="52" spans="2:17">
      <c r="B52" s="138" t="s">
        <v>73</v>
      </c>
      <c r="C52" s="139">
        <f>SUM(C41:C51)</f>
        <v>44</v>
      </c>
      <c r="D52" s="139">
        <f>SUM(D41:D49)</f>
        <v>0</v>
      </c>
      <c r="E52" s="139">
        <f>SUM(E41:E51)</f>
        <v>11</v>
      </c>
      <c r="F52" s="140">
        <f>SUM(F41:F51)</f>
        <v>66</v>
      </c>
    </row>
    <row r="55" spans="2:17">
      <c r="B55" s="248" t="s">
        <v>77</v>
      </c>
      <c r="C55" s="249"/>
      <c r="D55" s="249"/>
      <c r="E55" s="249"/>
      <c r="F55" s="250"/>
      <c r="H55" s="242" t="s">
        <v>78</v>
      </c>
      <c r="I55" s="243"/>
      <c r="J55" s="244"/>
      <c r="L55" s="158" t="s">
        <v>79</v>
      </c>
      <c r="M55" s="159">
        <f>J57</f>
        <v>123.35999999999999</v>
      </c>
      <c r="O55" s="182" t="s">
        <v>80</v>
      </c>
      <c r="P55" s="180" t="s">
        <v>81</v>
      </c>
      <c r="Q55" s="183" t="s">
        <v>82</v>
      </c>
    </row>
    <row r="56" spans="2:17">
      <c r="B56" s="134" t="s">
        <v>68</v>
      </c>
      <c r="C56" s="126" t="s">
        <v>68</v>
      </c>
      <c r="D56" s="126" t="s">
        <v>68</v>
      </c>
      <c r="E56" s="126" t="s">
        <v>68</v>
      </c>
      <c r="F56" s="135" t="s">
        <v>68</v>
      </c>
      <c r="H56" s="164" t="s">
        <v>81</v>
      </c>
      <c r="I56" s="165" t="s">
        <v>82</v>
      </c>
      <c r="J56" s="166" t="s">
        <v>52</v>
      </c>
      <c r="L56" s="169" t="s">
        <v>64</v>
      </c>
      <c r="M56" s="170">
        <f>J58</f>
        <v>6.6639999999999997</v>
      </c>
      <c r="O56" s="184" t="s">
        <v>83</v>
      </c>
      <c r="P56" s="181" t="s">
        <v>84</v>
      </c>
      <c r="Q56" s="185" t="s">
        <v>79</v>
      </c>
    </row>
    <row r="57" spans="2:17" ht="15" customHeight="1">
      <c r="B57" s="134" t="s">
        <v>68</v>
      </c>
      <c r="C57" s="150" t="s">
        <v>69</v>
      </c>
      <c r="D57" s="150" t="s">
        <v>70</v>
      </c>
      <c r="E57" s="150" t="s">
        <v>71</v>
      </c>
      <c r="F57" s="151" t="s">
        <v>72</v>
      </c>
      <c r="H57" s="152" t="s">
        <v>84</v>
      </c>
      <c r="I57" s="153" t="s">
        <v>79</v>
      </c>
      <c r="J57" s="154">
        <f>(6.8*1.8)+(1.8*4.4)+(12*6.8)+(3.6*6)</f>
        <v>123.35999999999999</v>
      </c>
      <c r="L57" s="158" t="s">
        <v>56</v>
      </c>
      <c r="M57" s="167">
        <f>J59</f>
        <v>13.6328</v>
      </c>
      <c r="O57" s="171" t="s">
        <v>85</v>
      </c>
      <c r="P57" s="177" t="s">
        <v>86</v>
      </c>
      <c r="Q57" s="172" t="s">
        <v>64</v>
      </c>
    </row>
    <row r="58" spans="2:17" ht="30.75">
      <c r="B58" s="137">
        <v>46120</v>
      </c>
      <c r="C58" s="128">
        <v>7</v>
      </c>
      <c r="D58" s="128"/>
      <c r="E58" s="128">
        <v>2</v>
      </c>
      <c r="F58" s="136">
        <v>3</v>
      </c>
      <c r="H58" s="155" t="s">
        <v>86</v>
      </c>
      <c r="I58" s="156" t="s">
        <v>64</v>
      </c>
      <c r="J58" s="157">
        <f>2.8*2.38</f>
        <v>6.6639999999999997</v>
      </c>
      <c r="L58" s="168" t="s">
        <v>87</v>
      </c>
      <c r="M58" s="162">
        <f>J60</f>
        <v>5.2459999999999996</v>
      </c>
      <c r="O58" s="171" t="s">
        <v>88</v>
      </c>
      <c r="P58" s="177" t="s">
        <v>89</v>
      </c>
      <c r="Q58" s="173" t="s">
        <v>87</v>
      </c>
    </row>
    <row r="59" spans="2:17">
      <c r="B59" s="137">
        <v>46121</v>
      </c>
      <c r="C59" s="126">
        <v>7</v>
      </c>
      <c r="D59" s="126"/>
      <c r="E59" s="126">
        <v>1</v>
      </c>
      <c r="F59" s="135">
        <v>2</v>
      </c>
      <c r="H59" s="155" t="s">
        <v>90</v>
      </c>
      <c r="I59" s="156" t="s">
        <v>56</v>
      </c>
      <c r="J59" s="157">
        <f>(4.24*2.8)+(0.62*2.84)</f>
        <v>13.6328</v>
      </c>
      <c r="O59" s="174" t="s">
        <v>88</v>
      </c>
      <c r="P59" s="179" t="s">
        <v>90</v>
      </c>
      <c r="Q59" s="175" t="s">
        <v>56</v>
      </c>
    </row>
    <row r="60" spans="2:17" ht="30.75">
      <c r="B60" s="137">
        <v>46122</v>
      </c>
      <c r="C60" s="126">
        <v>7</v>
      </c>
      <c r="D60" s="126"/>
      <c r="E60" s="126">
        <v>1</v>
      </c>
      <c r="F60" s="135">
        <v>5</v>
      </c>
      <c r="H60" s="160" t="s">
        <v>89</v>
      </c>
      <c r="I60" s="161" t="s">
        <v>87</v>
      </c>
      <c r="J60" s="178">
        <f>1.72*3.05</f>
        <v>5.2459999999999996</v>
      </c>
    </row>
    <row r="61" spans="2:17">
      <c r="B61" s="137">
        <v>46125</v>
      </c>
      <c r="C61" s="126">
        <v>6</v>
      </c>
      <c r="D61" s="126"/>
      <c r="E61" s="126">
        <v>2</v>
      </c>
      <c r="F61" s="135">
        <v>3</v>
      </c>
    </row>
    <row r="62" spans="2:17" ht="15" customHeight="1">
      <c r="B62" s="137">
        <v>46126</v>
      </c>
      <c r="C62" s="126">
        <v>7</v>
      </c>
      <c r="D62" s="126"/>
      <c r="E62" s="126">
        <v>2</v>
      </c>
      <c r="F62" s="135">
        <v>4</v>
      </c>
    </row>
    <row r="63" spans="2:17">
      <c r="B63" s="137">
        <v>46127</v>
      </c>
      <c r="C63" s="146">
        <v>8</v>
      </c>
      <c r="D63" s="146"/>
      <c r="E63" s="146">
        <v>2</v>
      </c>
      <c r="F63" s="147">
        <v>4</v>
      </c>
    </row>
    <row r="64" spans="2:17">
      <c r="B64" s="137">
        <v>46128</v>
      </c>
      <c r="C64" s="146">
        <v>8</v>
      </c>
      <c r="D64" s="146"/>
      <c r="E64" s="146">
        <v>2</v>
      </c>
      <c r="F64" s="147">
        <v>3</v>
      </c>
    </row>
    <row r="65" spans="2:6">
      <c r="B65" s="137">
        <v>46129</v>
      </c>
      <c r="C65">
        <v>8</v>
      </c>
      <c r="E65">
        <v>2</v>
      </c>
      <c r="F65" s="147">
        <v>3</v>
      </c>
    </row>
    <row r="66" spans="2:6">
      <c r="B66" s="137">
        <v>46132</v>
      </c>
      <c r="C66" s="146">
        <v>6</v>
      </c>
      <c r="D66" s="146"/>
      <c r="E66" s="146">
        <v>1</v>
      </c>
      <c r="F66" s="147">
        <v>4</v>
      </c>
    </row>
    <row r="67" spans="2:6">
      <c r="B67" s="137">
        <v>46134</v>
      </c>
      <c r="C67" s="146">
        <v>7</v>
      </c>
      <c r="D67" s="146"/>
      <c r="E67" s="146">
        <v>1</v>
      </c>
      <c r="F67" s="147">
        <v>4</v>
      </c>
    </row>
    <row r="68" spans="2:6">
      <c r="B68" s="138" t="s">
        <v>73</v>
      </c>
      <c r="C68" s="139">
        <f>SUM(C58:C67)</f>
        <v>71</v>
      </c>
      <c r="D68" s="139">
        <f>SUM(D58:D62)</f>
        <v>0</v>
      </c>
      <c r="E68" s="139">
        <f>SUM(E58:E67)</f>
        <v>16</v>
      </c>
      <c r="F68" s="140">
        <f>SUM(F58:F67)</f>
        <v>35</v>
      </c>
    </row>
    <row r="74" spans="2:6" ht="53.25" customHeight="1"/>
  </sheetData>
  <mergeCells count="5">
    <mergeCell ref="B2:F2"/>
    <mergeCell ref="B23:F23"/>
    <mergeCell ref="B38:F38"/>
    <mergeCell ref="B55:F55"/>
    <mergeCell ref="H55:J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Estevao</dc:creator>
  <cp:keywords/>
  <dc:description/>
  <cp:lastModifiedBy>andre.birchal@farkasconstrutora.com.br</cp:lastModifiedBy>
  <cp:revision>1</cp:revision>
  <dcterms:created xsi:type="dcterms:W3CDTF">2020-11-18T13:56:05Z</dcterms:created>
  <dcterms:modified xsi:type="dcterms:W3CDTF">2026-04-22T19:07:27Z</dcterms:modified>
  <cp:category/>
  <cp:contentStatus/>
</cp:coreProperties>
</file>