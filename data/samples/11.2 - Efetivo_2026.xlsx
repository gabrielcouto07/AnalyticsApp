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982" documentId="8_{4380823E-71AF-4569-8967-BFC3ABB98050}" xr6:coauthVersionLast="47" xr6:coauthVersionMax="47" xr10:uidLastSave="{886D0FBD-E05A-4BF2-B0B6-564DD4805991}"/>
  <bookViews>
    <workbookView xWindow="-120" yWindow="-120" windowWidth="20730" windowHeight="11040" tabRatio="493" firstSheet="4" activeTab="4" xr2:uid="{B072FF9E-30B3-452D-A175-0945CEB35F0D}"/>
  </bookViews>
  <sheets>
    <sheet name="Janeiro" sheetId="12" r:id="rId1"/>
    <sheet name="Fevereiro" sheetId="14" r:id="rId2"/>
    <sheet name="CONSULTA (ATIV - SERV)" sheetId="4" state="hidden" r:id="rId3"/>
    <sheet name="Março" sheetId="17" r:id="rId4"/>
    <sheet name="Abril" sheetId="19" r:id="rId5"/>
    <sheet name="Maio" sheetId="15" r:id="rId6"/>
  </sheets>
  <definedNames>
    <definedName name="_xlnm._FilterDatabase" localSheetId="2" hidden="1">'CONSULTA (ATIV - SERV)'!$D$1:$F$295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1" i="19" l="1"/>
  <c r="AH51" i="19"/>
  <c r="AI50" i="19"/>
  <c r="AH50" i="19"/>
  <c r="AI47" i="19"/>
  <c r="AH47" i="19"/>
  <c r="AI46" i="19"/>
  <c r="AH46" i="19"/>
  <c r="AI43" i="19"/>
  <c r="AH43" i="19"/>
  <c r="AI40" i="19"/>
  <c r="AH40" i="19"/>
  <c r="AI37" i="19"/>
  <c r="AH37" i="19"/>
  <c r="AI36" i="19"/>
  <c r="AH36" i="19"/>
  <c r="AI33" i="19"/>
  <c r="AH33" i="19"/>
  <c r="AI32" i="19"/>
  <c r="AH32" i="19"/>
  <c r="AI31" i="19"/>
  <c r="AH31" i="19"/>
  <c r="AI30" i="19"/>
  <c r="AH30" i="19"/>
  <c r="AI27" i="19"/>
  <c r="AH27" i="19"/>
  <c r="AI26" i="19"/>
  <c r="AH26" i="19"/>
  <c r="AI25" i="19"/>
  <c r="AH25" i="19"/>
  <c r="AI24" i="19"/>
  <c r="AH24" i="19"/>
  <c r="AI23" i="19"/>
  <c r="AH23" i="19"/>
  <c r="AI20" i="19"/>
  <c r="AH20" i="19"/>
  <c r="AI19" i="19"/>
  <c r="AH19" i="19"/>
  <c r="AI18" i="19"/>
  <c r="AH18" i="19"/>
  <c r="AI17" i="19"/>
  <c r="AH17" i="19"/>
  <c r="AI16" i="19"/>
  <c r="AH16" i="19"/>
  <c r="AI13" i="19"/>
  <c r="AH13" i="19"/>
  <c r="AI12" i="19"/>
  <c r="AH12" i="19"/>
  <c r="AI11" i="19"/>
  <c r="AH11" i="19"/>
  <c r="AI10" i="19"/>
  <c r="AH10" i="19"/>
  <c r="AI9" i="19"/>
  <c r="AH9" i="19"/>
  <c r="AI8" i="19"/>
  <c r="AH8" i="19"/>
  <c r="AI7" i="19"/>
  <c r="AH7" i="19"/>
  <c r="C3" i="19"/>
  <c r="D3" i="19" s="1"/>
  <c r="E3" i="19" s="1"/>
  <c r="F3" i="19" s="1"/>
  <c r="G3" i="19" s="1"/>
  <c r="H3" i="19" s="1"/>
  <c r="I3" i="19" s="1"/>
  <c r="J3" i="19" s="1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V3" i="19" s="1"/>
  <c r="W3" i="19" s="1"/>
  <c r="AI51" i="17"/>
  <c r="AH51" i="17"/>
  <c r="AI50" i="17"/>
  <c r="AH50" i="17"/>
  <c r="AI47" i="17"/>
  <c r="AH47" i="17"/>
  <c r="AI46" i="17"/>
  <c r="AH46" i="17"/>
  <c r="AI43" i="17"/>
  <c r="AH43" i="17"/>
  <c r="AI40" i="17"/>
  <c r="AH40" i="17"/>
  <c r="AI37" i="17"/>
  <c r="AH37" i="17"/>
  <c r="AI36" i="17"/>
  <c r="AH36" i="17"/>
  <c r="AI33" i="17"/>
  <c r="AH33" i="17"/>
  <c r="AI32" i="17"/>
  <c r="AH32" i="17"/>
  <c r="AI31" i="17"/>
  <c r="AH31" i="17"/>
  <c r="AI30" i="17"/>
  <c r="AH30" i="17"/>
  <c r="AI27" i="17"/>
  <c r="AH27" i="17"/>
  <c r="AI26" i="17"/>
  <c r="AH26" i="17"/>
  <c r="AI25" i="17"/>
  <c r="AH25" i="17"/>
  <c r="AI24" i="17"/>
  <c r="AH24" i="17"/>
  <c r="AI23" i="17"/>
  <c r="AH23" i="17"/>
  <c r="AI20" i="17"/>
  <c r="AH20" i="17"/>
  <c r="AI19" i="17"/>
  <c r="AH19" i="17"/>
  <c r="AI18" i="17"/>
  <c r="AH18" i="17"/>
  <c r="AI17" i="17"/>
  <c r="AH17" i="17"/>
  <c r="AI16" i="17"/>
  <c r="AH16" i="17"/>
  <c r="AI13" i="17"/>
  <c r="AH13" i="17"/>
  <c r="AI12" i="17"/>
  <c r="AH12" i="17"/>
  <c r="AI11" i="17"/>
  <c r="AH11" i="17"/>
  <c r="AI10" i="17"/>
  <c r="AH10" i="17"/>
  <c r="AI9" i="17"/>
  <c r="AH9" i="17"/>
  <c r="AI8" i="17"/>
  <c r="AH8" i="17"/>
  <c r="AI7" i="17"/>
  <c r="AH7" i="17"/>
  <c r="AI3" i="17"/>
  <c r="C3" i="17"/>
  <c r="D3" i="17" s="1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AI51" i="15"/>
  <c r="AH51" i="15"/>
  <c r="AI50" i="15"/>
  <c r="AH50" i="15"/>
  <c r="AI47" i="15"/>
  <c r="AH47" i="15"/>
  <c r="AI46" i="15"/>
  <c r="AH46" i="15"/>
  <c r="AI43" i="15"/>
  <c r="AH43" i="15"/>
  <c r="AI40" i="15"/>
  <c r="AH40" i="15"/>
  <c r="AI37" i="15"/>
  <c r="AH37" i="15"/>
  <c r="AI36" i="15"/>
  <c r="AH36" i="15"/>
  <c r="AI33" i="15"/>
  <c r="AH33" i="15"/>
  <c r="AI32" i="15"/>
  <c r="AH32" i="15"/>
  <c r="AI31" i="15"/>
  <c r="AH31" i="15"/>
  <c r="AI30" i="15"/>
  <c r="AH30" i="15"/>
  <c r="AI27" i="15"/>
  <c r="AH27" i="15"/>
  <c r="AI26" i="15"/>
  <c r="AH26" i="15"/>
  <c r="AI25" i="15"/>
  <c r="AH25" i="15"/>
  <c r="AI24" i="15"/>
  <c r="AH24" i="15"/>
  <c r="AI23" i="15"/>
  <c r="AH23" i="15"/>
  <c r="AI20" i="15"/>
  <c r="AH20" i="15"/>
  <c r="AI19" i="15"/>
  <c r="AH19" i="15"/>
  <c r="AI18" i="15"/>
  <c r="AH18" i="15"/>
  <c r="AI17" i="15"/>
  <c r="AH17" i="15"/>
  <c r="AI16" i="15"/>
  <c r="AH16" i="15"/>
  <c r="AI13" i="15"/>
  <c r="AH13" i="15"/>
  <c r="AI12" i="15"/>
  <c r="AH12" i="15"/>
  <c r="AI11" i="15"/>
  <c r="AH11" i="15"/>
  <c r="AI10" i="15"/>
  <c r="AH10" i="15"/>
  <c r="AI9" i="15"/>
  <c r="AH9" i="15"/>
  <c r="AI8" i="15"/>
  <c r="AH8" i="15"/>
  <c r="AI7" i="15"/>
  <c r="AH7" i="15"/>
  <c r="C3" i="15"/>
  <c r="D3" i="15" s="1"/>
  <c r="E3" i="15" s="1"/>
  <c r="F3" i="15" s="1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AH18" i="12"/>
  <c r="AH19" i="12"/>
  <c r="AH20" i="12"/>
  <c r="AJ18" i="12"/>
  <c r="AJ19" i="12"/>
  <c r="AJ23" i="12"/>
  <c r="AJ25" i="12"/>
  <c r="AJ27" i="12"/>
  <c r="AJ30" i="12"/>
  <c r="AJ32" i="12"/>
  <c r="AJ33" i="12"/>
  <c r="AJ7" i="12"/>
  <c r="AJ8" i="12"/>
  <c r="AJ9" i="12"/>
  <c r="AJ16" i="12"/>
  <c r="AH40" i="14"/>
  <c r="AH37" i="14"/>
  <c r="AH36" i="14"/>
  <c r="AH31" i="14"/>
  <c r="AH32" i="14"/>
  <c r="AH33" i="14"/>
  <c r="AH30" i="14"/>
  <c r="AH17" i="14"/>
  <c r="AH18" i="14"/>
  <c r="AH19" i="14"/>
  <c r="AH20" i="14"/>
  <c r="AH16" i="14"/>
  <c r="AH8" i="14"/>
  <c r="AH9" i="14"/>
  <c r="AH10" i="14"/>
  <c r="AH11" i="14"/>
  <c r="AH12" i="14"/>
  <c r="AH13" i="14"/>
  <c r="AH7" i="14"/>
  <c r="AH24" i="14"/>
  <c r="AH25" i="14"/>
  <c r="AH26" i="14"/>
  <c r="AH27" i="14"/>
  <c r="AH23" i="14"/>
  <c r="AI50" i="14"/>
  <c r="AI33" i="12"/>
  <c r="AI37" i="12"/>
  <c r="AI36" i="12"/>
  <c r="AI32" i="12"/>
  <c r="AI31" i="12"/>
  <c r="AJ31" i="12" s="1"/>
  <c r="AI30" i="12"/>
  <c r="AI27" i="12"/>
  <c r="AI26" i="12"/>
  <c r="AI25" i="12"/>
  <c r="AI24" i="12"/>
  <c r="AI23" i="12"/>
  <c r="AI20" i="12"/>
  <c r="AI19" i="12"/>
  <c r="AI18" i="12"/>
  <c r="AI17" i="12"/>
  <c r="AI7" i="12"/>
  <c r="AI16" i="12"/>
  <c r="AI10" i="12"/>
  <c r="AI9" i="12"/>
  <c r="AI8" i="12"/>
  <c r="AH43" i="14"/>
  <c r="AI43" i="14"/>
  <c r="AI33" i="14"/>
  <c r="AI51" i="14"/>
  <c r="AH51" i="14"/>
  <c r="AH50" i="14"/>
  <c r="AI47" i="14"/>
  <c r="AH47" i="14"/>
  <c r="AI46" i="14"/>
  <c r="AH46" i="14"/>
  <c r="AI40" i="14"/>
  <c r="AI37" i="14"/>
  <c r="AI36" i="14"/>
  <c r="AI32" i="14"/>
  <c r="AI31" i="14"/>
  <c r="AI30" i="14"/>
  <c r="AI27" i="14"/>
  <c r="AI26" i="14"/>
  <c r="AI25" i="14"/>
  <c r="AI24" i="14"/>
  <c r="AI23" i="14"/>
  <c r="AI20" i="14"/>
  <c r="AI19" i="14"/>
  <c r="AI18" i="14"/>
  <c r="AI17" i="14"/>
  <c r="AI16" i="14"/>
  <c r="AI13" i="14"/>
  <c r="AI12" i="14"/>
  <c r="AI11" i="14"/>
  <c r="AI10" i="14"/>
  <c r="AI9" i="14"/>
  <c r="AI8" i="14"/>
  <c r="AI7" i="14"/>
  <c r="C3" i="14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AI40" i="12"/>
  <c r="AH40" i="12"/>
  <c r="AI43" i="12"/>
  <c r="AH43" i="12"/>
  <c r="AI46" i="12"/>
  <c r="AH46" i="12"/>
  <c r="AH31" i="12"/>
  <c r="AI52" i="12"/>
  <c r="AH52" i="12"/>
  <c r="AI51" i="12"/>
  <c r="AH51" i="12"/>
  <c r="AI50" i="12"/>
  <c r="AH50" i="12"/>
  <c r="AI47" i="12"/>
  <c r="AH47" i="12"/>
  <c r="AH37" i="12"/>
  <c r="AH36" i="12"/>
  <c r="AH32" i="12"/>
  <c r="AH30" i="12"/>
  <c r="AH27" i="12"/>
  <c r="AH26" i="12"/>
  <c r="AH25" i="12"/>
  <c r="AH24" i="12"/>
  <c r="AH23" i="12"/>
  <c r="AH16" i="12"/>
  <c r="AI13" i="12"/>
  <c r="AH13" i="12"/>
  <c r="AI12" i="12"/>
  <c r="AH12" i="12"/>
  <c r="AI11" i="12"/>
  <c r="AH11" i="12"/>
  <c r="AH10" i="12"/>
  <c r="AH9" i="12"/>
  <c r="AH8" i="12"/>
  <c r="AH7" i="12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AI3" i="14" l="1"/>
  <c r="AI3" i="12"/>
</calcChain>
</file>

<file path=xl/sharedStrings.xml><?xml version="1.0" encoding="utf-8"?>
<sst xmlns="http://schemas.openxmlformats.org/spreadsheetml/2006/main" count="2069" uniqueCount="833">
  <si>
    <t>Obra_RIL</t>
  </si>
  <si>
    <t>Controle de Efetivo</t>
  </si>
  <si>
    <t>Mês:</t>
  </si>
  <si>
    <t>Janeiro</t>
  </si>
  <si>
    <t>Função:</t>
  </si>
  <si>
    <t>Diárias Totais:</t>
  </si>
  <si>
    <t>SCO Construções LTDA</t>
  </si>
  <si>
    <t>Servente</t>
  </si>
  <si>
    <t>-</t>
  </si>
  <si>
    <t>Meio Oficial</t>
  </si>
  <si>
    <t>Pedreiro</t>
  </si>
  <si>
    <t>Betorneiro</t>
  </si>
  <si>
    <t>Guincheiro</t>
  </si>
  <si>
    <t>Operador de Argamassadeira</t>
  </si>
  <si>
    <t>Encarregado</t>
  </si>
  <si>
    <t xml:space="preserve">DMC </t>
  </si>
  <si>
    <t>Operador</t>
  </si>
  <si>
    <t>Verticale Engenharia LTDA</t>
  </si>
  <si>
    <t>Meio-Oficial</t>
  </si>
  <si>
    <t>Carpinteiro</t>
  </si>
  <si>
    <t>Armador</t>
  </si>
  <si>
    <t>Mbrum Construções LTDA</t>
  </si>
  <si>
    <t>Impermeabilizações Isolar LTDA</t>
  </si>
  <si>
    <t>Impermeabilizador</t>
  </si>
  <si>
    <t>Ezequias</t>
  </si>
  <si>
    <t>Bombeiro</t>
  </si>
  <si>
    <t>Complemig</t>
  </si>
  <si>
    <t>Serralheiro</t>
  </si>
  <si>
    <t>Tanaka Engenharia</t>
  </si>
  <si>
    <t>Triuno Instalações LTDA</t>
  </si>
  <si>
    <t>Eletricista</t>
  </si>
  <si>
    <t>Fevereiro</t>
  </si>
  <si>
    <t>NA</t>
  </si>
  <si>
    <t>Betoneiro</t>
  </si>
  <si>
    <t>Horizonte e vidros</t>
  </si>
  <si>
    <t>ATIV - SERV</t>
  </si>
  <si>
    <t>DESCRIÇÃO</t>
  </si>
  <si>
    <t>ATIVIDADE</t>
  </si>
  <si>
    <t>SERVIÇO</t>
  </si>
  <si>
    <t>INSUMO</t>
  </si>
  <si>
    <t xml:space="preserve">DESPESAS / TAXAS DE APROVAÇÃO E ENTREGA </t>
  </si>
  <si>
    <t xml:space="preserve">DESPESAS / TAXAS DE APROVAÇÃO  E ENTREGA                                            </t>
  </si>
  <si>
    <t xml:space="preserve">ACABAMENTO DE REGISTRO LINHA   ARGON CROMADO Cod. 00847944                          </t>
  </si>
  <si>
    <t xml:space="preserve">ABSORVEDOR PARA LINHA DE VIDA 1500KGF                       </t>
  </si>
  <si>
    <t>TAXAS CREA-MG</t>
  </si>
  <si>
    <t xml:space="preserve">INSTALAÇÕES PROVISÓRIAS                                                             </t>
  </si>
  <si>
    <t xml:space="preserve">ACABAMENTO DE REGISTRO LINHA   LIFT CROMADO Cod. 00811906                           </t>
  </si>
  <si>
    <t>SEGURO DE OBRA (RISCO ENGENHARIA)</t>
  </si>
  <si>
    <t xml:space="preserve">CONSUMOS / MANUTENÇÃO CANTEIRO                                                      </t>
  </si>
  <si>
    <t xml:space="preserve">ACABAMENTO DE REGISTRO LINHA   MIX &amp; MATCH NÍQUEL Cod.                              </t>
  </si>
  <si>
    <t>BAIXA E HABITE-SE</t>
  </si>
  <si>
    <t xml:space="preserve">TERRAPLENAGEM                                                                       </t>
  </si>
  <si>
    <t xml:space="preserve">ALMOXARIFE                                                                          </t>
  </si>
  <si>
    <t>AS BUILT E MANUAL DE ENTREGA DE OBRA</t>
  </si>
  <si>
    <t xml:space="preserve">CONTENÇÃO EM BLOCO DE CONCRETO                                                      </t>
  </si>
  <si>
    <t xml:space="preserve">ALVENARIA EM BLOCO DE CHEIO    ESP = 20CM                                           </t>
  </si>
  <si>
    <t xml:space="preserve">ACO CA-50, 10,0 MM, VERGALHAO  </t>
  </si>
  <si>
    <t>INSTALAÇÕES PROVISÓRIAS</t>
  </si>
  <si>
    <t xml:space="preserve">FUNDAÇÃO PROFUNDA (TUBULÕES E  ESTACA)                                              </t>
  </si>
  <si>
    <t xml:space="preserve">ALVENARIA EM TIJOLO CERÂMICO   FURADO ACUSTICO  DE VEDAÇÃO E                        </t>
  </si>
  <si>
    <t xml:space="preserve">AÇO CA-50, 12,5 MM, VERGALHÃO                               </t>
  </si>
  <si>
    <t>PLACAS DE SINALIZAÇÃO DE SEGURANÇA</t>
  </si>
  <si>
    <t xml:space="preserve">FUNDAÇÕES SUPERFICIAIS -       BLOCOS E CINTAS                                      </t>
  </si>
  <si>
    <t xml:space="preserve">ALVENARIA EM TIJOLO CERÂMICO   FURADO DE VEDAÇÃO E = 20CM                           </t>
  </si>
  <si>
    <t xml:space="preserve">ACO CA-50, 6,3 MM, VERGALHAO  </t>
  </si>
  <si>
    <t>PLACAS DE OBRA</t>
  </si>
  <si>
    <t xml:space="preserve">ESTRUTURA EM CONCRETO ARMADO                                                        </t>
  </si>
  <si>
    <t xml:space="preserve">AR CONDICIONADO,               INFRAESTRUTURA + EQUIPAMENTOS                        </t>
  </si>
  <si>
    <t xml:space="preserve">ACO CA-50, 8,0 MM, VERGALHAO  </t>
  </si>
  <si>
    <t>TABEIRA PARA LOCAÇÃO DE OBRA</t>
  </si>
  <si>
    <t xml:space="preserve">ESTRUTURA METÁLICA                                                                  </t>
  </si>
  <si>
    <t xml:space="preserve">AREIA LAVADA MÉDIA                                                                  </t>
  </si>
  <si>
    <t xml:space="preserve">AÇO CA-60 16,0 MM VERGALHAO                                 </t>
  </si>
  <si>
    <t>EXECUÇÃO DE BARRACÃO DE OBRA</t>
  </si>
  <si>
    <t xml:space="preserve">INSTALAÇÕES                    ELÉTRICAS/HIDRAULICAS/ESPECIAI                       </t>
  </si>
  <si>
    <t xml:space="preserve">ARGAMASSADEIRA - LOCAÇÃO                                                            </t>
  </si>
  <si>
    <t xml:space="preserve">AÇO CA-60 20,0 MM VERGALHAO                                 </t>
  </si>
  <si>
    <t>MOBILIZAÇÃO E DESMOBILIZAÇÃO DE BARRACÃO DE OBRA</t>
  </si>
  <si>
    <t xml:space="preserve">ALVENARIA E VEDAÇÕES                                                                </t>
  </si>
  <si>
    <t xml:space="preserve">ARMADOR DE APOIO                                                                    </t>
  </si>
  <si>
    <t xml:space="preserve">AÇO CA-60 25,0 MM VERGALHAO                                 </t>
  </si>
  <si>
    <t>EXECUÇÃO DE TAPUME DE OBRA</t>
  </si>
  <si>
    <t xml:space="preserve">IMPERMEABILIZAÇÃO                                                                   </t>
  </si>
  <si>
    <t xml:space="preserve">ARMÁRIOS PLANEJADOS (ESTIMADO)                                                      </t>
  </si>
  <si>
    <t xml:space="preserve">AÇO CA-60 5,00 MM VERGALHAO  </t>
  </si>
  <si>
    <t xml:space="preserve">LOCAÇÃO DE IMPRESSORA </t>
  </si>
  <si>
    <t xml:space="preserve">REVESTIMENTO DE PAREDES        (MASSA)                                              </t>
  </si>
  <si>
    <t xml:space="preserve">AS BUILT E MANUAL DE ENTREGA   DE OBRA                                              </t>
  </si>
  <si>
    <t xml:space="preserve">ADITIVO PENETRON                                            </t>
  </si>
  <si>
    <t>ITENS PARA INSTALAÇÕES PROVISÓRIAS ( 2 BEBEDOURO E 2 MARMITEIRO)</t>
  </si>
  <si>
    <t xml:space="preserve">REVESTIMENTO DE PISO MASSA                                                          </t>
  </si>
  <si>
    <t xml:space="preserve">BACIA LINHA LOGGICA COM CAIXA  ACOPLADA                                             </t>
  </si>
  <si>
    <t xml:space="preserve">ADITIVO PLASTIFICANTE E ESTABILIZADOR PARA ARGAMASSAS DE ASSENTAMENTO E REBOCO, LIQUIDO E ISENTO DE CLORETOS  </t>
  </si>
  <si>
    <t>MANUTENÇÃO DO CANTEIRO DE OBRA</t>
  </si>
  <si>
    <t xml:space="preserve">REVESTIMENTO DE PAREDES        (ACABAMENTOS)                                        </t>
  </si>
  <si>
    <t xml:space="preserve">BAIXA E HABITE-SE                                                                   </t>
  </si>
  <si>
    <t xml:space="preserve">AJUDANTE DE ARMADOR (MENSALISTA)  </t>
  </si>
  <si>
    <t>CONSUMOS / MANUTENÇÃO CANTEIRO</t>
  </si>
  <si>
    <t xml:space="preserve">REVESTIMENTO DE PISOS          (ACABAMENTOS)                                        </t>
  </si>
  <si>
    <t xml:space="preserve">BANCADA EM GRANITO BRANCO      SIENA                                                </t>
  </si>
  <si>
    <t xml:space="preserve">ALMOXARIFE (MENSALISTA)  </t>
  </si>
  <si>
    <t>CONSUMO DE ENERGIA</t>
  </si>
  <si>
    <t xml:space="preserve">RODAPÉS/BANCADAS                                                                    </t>
  </si>
  <si>
    <t xml:space="preserve">BANCADA EM QUARTZITO MONALISA                                                       </t>
  </si>
  <si>
    <t xml:space="preserve">ARAME RECOZIDO 16 BWG, D = 1,60 MM (0,016 KG/M) OU 18 BWG, D = 1,25 MM (0,01 KG/M)  </t>
  </si>
  <si>
    <t>CONSUMO DE ÁGUA E ESGOTO</t>
  </si>
  <si>
    <t xml:space="preserve">ESQUADRIAS METÁLICAS (CINEX +  SCHUCO)                                              </t>
  </si>
  <si>
    <t xml:space="preserve">BANCADA ESCULPIDA EM LAMINA    SINTERIZADA                                          </t>
  </si>
  <si>
    <t xml:space="preserve">AREIA GROSSA LAVADA                                         </t>
  </si>
  <si>
    <t>CONSUMO DE TELEFONE E INTERNET</t>
  </si>
  <si>
    <t xml:space="preserve">PORTAS DE MADEIRA/ARMÁRIOS                                                          </t>
  </si>
  <si>
    <t xml:space="preserve">BANCADA ESCULPIDA EM MARMORE   TRAVERTINO                                           </t>
  </si>
  <si>
    <t>TERRAPLENAGEM</t>
  </si>
  <si>
    <t xml:space="preserve">FORROS EM GESSO E MADEIRA                                                           </t>
  </si>
  <si>
    <t xml:space="preserve">BANCADA ESCULPIDA EM ÔNIX      VERDE                                                </t>
  </si>
  <si>
    <t xml:space="preserve">AREIA MEDIA - POSTO JAZIDA/FORNECEDOR (RETIRADO NA JAZIDA, SEM TRANSPORTE)  </t>
  </si>
  <si>
    <t>ESCAVAÇÃO, ATERRO E BOTA FORA DE MATERIAL ESCAVADO</t>
  </si>
  <si>
    <t xml:space="preserve">FACHADA                                                                             </t>
  </si>
  <si>
    <t xml:space="preserve">BANCADA ESCULPIDA EM QUARTZITO TAJ MAHAL                                            </t>
  </si>
  <si>
    <t xml:space="preserve">ARGAMASSA + EMPREITEIRO + BENEFICIAMENTO MARMORE            </t>
  </si>
  <si>
    <t>CONTENÇÃO EM BLOCO DE CONCRETO</t>
  </si>
  <si>
    <t xml:space="preserve">PINTURA ACRILICA                                                                    </t>
  </si>
  <si>
    <t xml:space="preserve">BOX EM VIDRO TEMPERADO PISO    TETO PORTA DE GIRO PUXADOR                           </t>
  </si>
  <si>
    <t xml:space="preserve">ARGAMASSA COLANTE TIPO ACIII  </t>
  </si>
  <si>
    <t>LEVANTAMENTO TOPOGRÁFICO</t>
  </si>
  <si>
    <t xml:space="preserve">LOUÇAS E METAIS                                                                     </t>
  </si>
  <si>
    <t xml:space="preserve">BRISE EM RIPADO                                                                     </t>
  </si>
  <si>
    <t xml:space="preserve">ARGAMASSA INDUSTRIALIZADA MULTIUSO 4,5MPA                   </t>
  </si>
  <si>
    <t>MOBILIZAÇÃO E DESMOBILIZAÇÃO DE EQUIPAMENTOS TRADO</t>
  </si>
  <si>
    <t xml:space="preserve">DIVERSOS                                                                            </t>
  </si>
  <si>
    <t xml:space="preserve">BRITA Nº 1 E 2                                                                      </t>
  </si>
  <si>
    <t xml:space="preserve">ARGAMASSA TRAÇO 1:2:9 (EM VOLUME DE CIMENTO, CAL E AREIA MÉDIA ÚMIDA) PARA EMBOÇO/MASSA ÚNICA/ASSENTAMENTO DE ALVENARIA DE VEDAÇÃO, PREPARO MECÂNICO COM BETONEIRA 400 L. AF_08/2019  </t>
  </si>
  <si>
    <t>ESCAVAÇÃO ESTACA A TRADO MECANIZADO DN 50CM</t>
  </si>
  <si>
    <t xml:space="preserve">JARDINEIRAS E PAISAGISMO                                                            </t>
  </si>
  <si>
    <t xml:space="preserve">CABO DE AÇO LINHA DE VIDA                                                           </t>
  </si>
  <si>
    <t xml:space="preserve">ARGAMASSA TRAÇO 1:4 (EM VOLUME DE CIMENTO E AREIA MÉDIA ÚMIDA) PARA CONTRAPISO, PREPARO MANUAL. AF_08/2019  </t>
  </si>
  <si>
    <t>ESCAVAÇÃO ESTACA A TRADO MECANIZADO DN 80CM</t>
  </si>
  <si>
    <t xml:space="preserve">EQUIPE DE APOIO                                                                     </t>
  </si>
  <si>
    <t xml:space="preserve">CAFÉ DA MANHÃ                                                                       </t>
  </si>
  <si>
    <t>ESCAVAÇÃO ESTACA A TRADO MECANIZADO DN 90CM</t>
  </si>
  <si>
    <t xml:space="preserve">LIMPEZAS                                                                            </t>
  </si>
  <si>
    <t xml:space="preserve">CANALETA EM CONCRETO                                                                </t>
  </si>
  <si>
    <t xml:space="preserve">AS BUILT E MANUAL DE ENTREGA DE OBRA  </t>
  </si>
  <si>
    <t>ESCAVAÇÃO MANUAL DE VALAS</t>
  </si>
  <si>
    <t xml:space="preserve">PESSOAL ADMINISTRATIVO DA OBRA                                                      </t>
  </si>
  <si>
    <t xml:space="preserve">CANTONEIRA METÁLICA (PERIMETRO IMPERMEABILIZAÇÃO)                                   </t>
  </si>
  <si>
    <t>TRANSPORTE DE MATERIAL DE QUALQUER NATUREZA</t>
  </si>
  <si>
    <t xml:space="preserve">DESPESAS COM PESSOAL (10       FUNCIONÁRIOS)                                        </t>
  </si>
  <si>
    <t xml:space="preserve">CARPINTEIRO DE APOIO                                                                </t>
  </si>
  <si>
    <t xml:space="preserve">BEBEDOURO                                                   </t>
  </si>
  <si>
    <t>ALVENARIA EM BLOCO DE CHEIO ESP = 20CM</t>
  </si>
  <si>
    <t xml:space="preserve">SEGURANÇA DO TRABALHO                                                               </t>
  </si>
  <si>
    <t xml:space="preserve">CARRINHO DE MÃO                                                                     </t>
  </si>
  <si>
    <t xml:space="preserve">BETONEIRA 400L                                              </t>
  </si>
  <si>
    <t>FORMA EM TÁBUA PARA FUNDAÇÕES</t>
  </si>
  <si>
    <t xml:space="preserve">EQUIPAMENTOS  E FERRAMENTAS                                                         </t>
  </si>
  <si>
    <t xml:space="preserve">CHAPISCO INTERNO                                                                    </t>
  </si>
  <si>
    <t xml:space="preserve">BLOCO CERAMICO DE VEDACAO COM FUROS NA VERTICAL, 14 X 19 X 39 CM - 4,5 MPA (NBR 15270)  </t>
  </si>
  <si>
    <t>MANTA GEOTÊXTIL</t>
  </si>
  <si>
    <t>DIVERSOS INDIRETO</t>
  </si>
  <si>
    <t xml:space="preserve">CHUVEIRO DE TETO DOCOL (SUITE  MASTER)                                              </t>
  </si>
  <si>
    <t xml:space="preserve">BLOCO DE CONCRETO ESTRUTURAL 19 X 19 X 39 CM                </t>
  </si>
  <si>
    <t>BRITA Nº 1 E 2</t>
  </si>
  <si>
    <t xml:space="preserve">TRANSPORTES                                                                         </t>
  </si>
  <si>
    <t xml:space="preserve">CHUVEIRO DOCOL EDEN DE PAREDE                                                       </t>
  </si>
  <si>
    <t>AREIA LAVADA MÉDIA</t>
  </si>
  <si>
    <t>TAXA ADM</t>
  </si>
  <si>
    <t xml:space="preserve">CHUVEIRO DOCOL QUADRADO SQUARE PAREDE                                               </t>
  </si>
  <si>
    <t>TUBO PVC ESGOTO 100MM X 6 METROS</t>
  </si>
  <si>
    <t>PAVIMENTAÇÃO EXTERNA</t>
  </si>
  <si>
    <t xml:space="preserve">COMPACTADOR CM20 TIPO SAPO     MECÂNICO                                             </t>
  </si>
  <si>
    <t xml:space="preserve">BRITA Nº 1 E 2                                              </t>
  </si>
  <si>
    <t>IMPERMEABILIZAÇÃO COM SISTEMA HEM</t>
  </si>
  <si>
    <t xml:space="preserve">CONSUMO DE ÁGUA E ESGOTO                                                            </t>
  </si>
  <si>
    <t>CANALETA EM CONCRETO</t>
  </si>
  <si>
    <t xml:space="preserve">CONSUMO DE ENERGIA                                                                  </t>
  </si>
  <si>
    <t xml:space="preserve">BUCHA DE NYLON SEM ABA S10, COM PARAFUSO DE 6,10 X 65 MM EM ACO ZINCADO COM ROSCA SOBERBA, CABECA CHATA E FENDA PHILLIPS  </t>
  </si>
  <si>
    <t>TELA Q192 PARA COCHO</t>
  </si>
  <si>
    <t xml:space="preserve">CONSUMO DE TELEFONE E INTERNET                                                      </t>
  </si>
  <si>
    <t xml:space="preserve">CABO DE COBRE, FLEXIVEL, CLASSE 4 OU 5, ISOLACAO EM PVC/A, ANTICHAMA BWF-B, COBERTURA PVC-ST1, ANTICHAMA BWF-B, 1 CONDUTOR, 0,6/1 KV, SECAO NOMINAL 2,5 MM2  </t>
  </si>
  <si>
    <t>FORNECIMENTO CORTE E DOBRA E APLICAÇÃO DE AÇO CA-50 - Ø6,30</t>
  </si>
  <si>
    <t xml:space="preserve">CONTRAPISO ESP= 4 CM                                                                </t>
  </si>
  <si>
    <t xml:space="preserve">CABOS PARA PROTENSÃO                                        </t>
  </si>
  <si>
    <t>FORNECIMENTO CORTE E DOBRA E APLICAÇÃO DE AÇO CA-50 - Ø8,0</t>
  </si>
  <si>
    <t xml:space="preserve">CONTRAPISO ESP= 6 CM                                                                </t>
  </si>
  <si>
    <t xml:space="preserve">CAFÉ DA MANHÃ                                               </t>
  </si>
  <si>
    <t>FORNECIMENTO CORTE E DOBRA E APLICAÇÃO DE AÇO CA-50 - Ø10,0</t>
  </si>
  <si>
    <t xml:space="preserve">CONTROLE TECNOLÓGICO DE        CONCRETO - CONVENCIONAL                              </t>
  </si>
  <si>
    <t xml:space="preserve">CAMADA SEPARADORA DE FILME DE POLIETILENO 20 A 25 MICRA  </t>
  </si>
  <si>
    <t>FORNECIMENTO CORTE E DOBRA E APLICAÇÃO DE AÇO CA-50 - Ø12,5</t>
  </si>
  <si>
    <t xml:space="preserve">CÓPIAS E PLOTAGEM                                                                   </t>
  </si>
  <si>
    <t xml:space="preserve">CANALETA CONCRETO ESTRUTURAL 14 X 19 X 39 CM, FBK 4,5 MPA (NBR 6136)  </t>
  </si>
  <si>
    <t>FORNECIMENTO CORTE E DOBRA E APLICAÇÃO DE AÇO CA-50 - Ø20,0</t>
  </si>
  <si>
    <t xml:space="preserve">CUBA LINHA QUADRATINO 500                                                           </t>
  </si>
  <si>
    <t xml:space="preserve">CANTONEIRA ALUMINIO ABAS IGUAIS 2 ", E = 1/4 "  </t>
  </si>
  <si>
    <t>FORNECIMENTO CORTE E DOBRA E APLICAÇÃO DE AÇO CA-50 - Ø25,0</t>
  </si>
  <si>
    <t xml:space="preserve">CUBA RET. EMBUTIDA LUXO DOCOL  390x390x140 cm Cod. 00969926                         </t>
  </si>
  <si>
    <t xml:space="preserve">CARPINTEIRO AUXILIAR  </t>
  </si>
  <si>
    <t>FORNECIMENTO CORTE E DOBRA E APLICAÇÃO DE AÇO CA-50/60</t>
  </si>
  <si>
    <t xml:space="preserve">DUCHA HIGIENICA LINHA LISS     Cod. 00921106                                        </t>
  </si>
  <si>
    <t xml:space="preserve">CARPINTEIRO DE APOIO E SEGURANÇA                            </t>
  </si>
  <si>
    <t>FORNEC. E LANÇAMENTO DE CONCRETO FCK 35MPA SLUMP 12+-2</t>
  </si>
  <si>
    <t xml:space="preserve">DUCHA HIGIENICA LINHA LOGGICA  Cod. 01137906                                        </t>
  </si>
  <si>
    <t xml:space="preserve">CARPINTEIRO DE FORMAS  </t>
  </si>
  <si>
    <t>CONTROLE TECNOLÓGICO DE CONCRETO - CONVENCIONAL</t>
  </si>
  <si>
    <t xml:space="preserve">ELETRODOMÉSTICOS, EQUIPAMENTOS DE ACADEMIA, PAINEIS DE                              </t>
  </si>
  <si>
    <t xml:space="preserve">CARRINHÃO DE MÃO                                            </t>
  </si>
  <si>
    <t>FUNDAÇÃO PROFUNDA (TUBULÕES E ESTACA)</t>
  </si>
  <si>
    <t xml:space="preserve">ELEVADOR THYSSENKRUPP 3        PARADAS  (THYSSENKRUPP)                              </t>
  </si>
  <si>
    <t xml:space="preserve">CARTUCHO PARA PISTOLA DE IMPACTO HILTI DX E72               </t>
  </si>
  <si>
    <t xml:space="preserve">ENCUNHAMENTO ALVENARIA                                                              </t>
  </si>
  <si>
    <t xml:space="preserve">CHAPA DE MADEIRA COMPENSADA NAVAL (COM COLA FENOLICA), E = 6 MM, DE *1,60 X 2,20* M  </t>
  </si>
  <si>
    <t xml:space="preserve">ENGENHEIRO - ENGENHEIRO DE     PRODUÇÃO                                             </t>
  </si>
  <si>
    <t xml:space="preserve">CHAPA DE MADEIRA COMPENSADA PLASTIFICADA PARA FORMA DE CONCRETO, DE 2,20 X 1,10 M, E = 12 MM  </t>
  </si>
  <si>
    <t>ESCAVAÇÃO MANUAL DE TUBULÕES</t>
  </si>
  <si>
    <t xml:space="preserve">EQUIPAMENTO DE PROTEÇÃO        INDIVIDUAL (EPI)                                     </t>
  </si>
  <si>
    <t xml:space="preserve">CHAPA DE MADEIRA COMPENSADA PLASTIFICADA PARA FORMA DE CONCRETO, DE 2,20 X 1,10 M, E = 20 MM  </t>
  </si>
  <si>
    <t xml:space="preserve">EQUIPAMENTOS PISCINA E         AQUECIMENTO (BOM CALOR)                              </t>
  </si>
  <si>
    <t xml:space="preserve">CHAPA DE MADEIRA COMPENSADA RESINADA PARA FORMA DE CONCRETO, DE *2,2 X 1,1* M, E = 10 MM  </t>
  </si>
  <si>
    <t xml:space="preserve">ESCAVAÇÃO ESTACA A TRADO       MECANIZADO DN 50CM                                   </t>
  </si>
  <si>
    <t xml:space="preserve">CHAPA DE MADEIRA COMPENSADA RESINADA PARA FORMA DE CONCRETO, DE *2,2 X 1,1* M, E = 14 MM  </t>
  </si>
  <si>
    <t xml:space="preserve">ESCAVAÇÃO ESTACA A TRADO       MECANIZADO DN 80CM                                   </t>
  </si>
  <si>
    <t xml:space="preserve">FORNEC. E LANÇAMENTO DE CONCRETO FCK 25MPA SLUMP 12+-2  </t>
  </si>
  <si>
    <t xml:space="preserve">ESCAVAÇÃO ESTACA A TRADO       MECANIZADO DN 90CM                                   </t>
  </si>
  <si>
    <t xml:space="preserve">CONTROLE TECNOLÓGICO DE CONCRETO - CONVENCIONAL  </t>
  </si>
  <si>
    <t xml:space="preserve">ESCAVAÇÃO MANUAL DE TUBULÕES                                                        </t>
  </si>
  <si>
    <t xml:space="preserve">FUNDAÇÕES SUPERFICIAIS - BLOCOS E CINTAS </t>
  </si>
  <si>
    <t xml:space="preserve">ESCAVAÇÃO MANUAL DE VALAS                                                           </t>
  </si>
  <si>
    <t xml:space="preserve">CIMENTO PORTLAND COMPOSTO CP II-32  </t>
  </si>
  <si>
    <t xml:space="preserve">ESCAVAÇÃO, ATERRO E BOTA FORA  DE MATERIAL ESCAVADO                                 </t>
  </si>
  <si>
    <t xml:space="preserve">COMPACTADOR TIPO SAPO MECANICO                              </t>
  </si>
  <si>
    <t xml:space="preserve">ESCORAMENTO METÁLICO                                                                </t>
  </si>
  <si>
    <t xml:space="preserve">CONCRETO USINADO 30,0MPA - BRITA 1-SLUMP 10+-2              </t>
  </si>
  <si>
    <t xml:space="preserve">ESMERILHADEIRA (1)                                                                  </t>
  </si>
  <si>
    <t xml:space="preserve">CONCRETO USINADO BOMBEÁVEL 25 MPA SLUMP 10+-2               </t>
  </si>
  <si>
    <t xml:space="preserve">ESQUADRIAS METALICAS - PORTAS  E JANELAS                                            </t>
  </si>
  <si>
    <t xml:space="preserve">CONCRETO USINADO BOMBEÁVEL 25MPA SLUMP 12+-2                </t>
  </si>
  <si>
    <t>FORNEC. E LANÇAMENTO DE CONCRETO FCK 30MPA SLUMP 12+-2</t>
  </si>
  <si>
    <t xml:space="preserve">ESTAGIÁRIO DE OBRAS                                                                 </t>
  </si>
  <si>
    <t xml:space="preserve">CONCRETO USINADO BOMBEAVEL, CLASSE DE RESISTENCIA C30, COM BRITA 0 E 1, SLUMP = 100 +/- 20 MM, EXCLUI SERVICO DE BOMBEAMENTO (NBR 8953)  </t>
  </si>
  <si>
    <t xml:space="preserve">EXECUÇÃO DE BARRACÃO DE OBRA                                                        </t>
  </si>
  <si>
    <t xml:space="preserve">CONSUMO DE ÁGUA E ESGOTO                                    </t>
  </si>
  <si>
    <t xml:space="preserve">ESTRUTURA EM CONCRETO ARMADO </t>
  </si>
  <si>
    <t xml:space="preserve">EXECUÇÃO DE ESCADA METÁLICA                                                         </t>
  </si>
  <si>
    <t xml:space="preserve">CONSUMO DE ENERGIA                                          </t>
  </si>
  <si>
    <t xml:space="preserve">FORMA EM COMPENSADO PLASTIFICADO PARA ESTRUTURA </t>
  </si>
  <si>
    <t xml:space="preserve">EXECUÇÃO DE TAPUME DE OBRA                                                          </t>
  </si>
  <si>
    <t xml:space="preserve">CONSUMO DE TELEFONE E INTERNET                              </t>
  </si>
  <si>
    <t>ESCORAMENTO METÁLICO</t>
  </si>
  <si>
    <t xml:space="preserve">FORMA EM COMPENSADO            PLASTIFICADO PARA ESTRUTURA                          </t>
  </si>
  <si>
    <t xml:space="preserve">CONTROLE TECNOLÓGICO DE CONCRETO                            </t>
  </si>
  <si>
    <t>SARRAFEAMENTO DE LAJES</t>
  </si>
  <si>
    <t xml:space="preserve">FORMA EM TÁBUA PARA FUNDAÇÕES                                                       </t>
  </si>
  <si>
    <t xml:space="preserve">CÓPIAS E PLOTAGEM                                           </t>
  </si>
  <si>
    <t>FORNECIMENTO CORTE E DOBRA E APLICAÇÃO DE AÇO CA-50 - Ø5,0</t>
  </si>
  <si>
    <t xml:space="preserve">FORNEC. E LANÇAMENTO DE        CONCRETO FCK 25MPA SLUMP 12+-2                       </t>
  </si>
  <si>
    <t xml:space="preserve">CORPO DE PROVA ENSAIO CONCRETO                              </t>
  </si>
  <si>
    <t xml:space="preserve">FORNEC. E LANÇAMENTO DE        CONCRETO FCK 30MPA SLUMP 12+-2                       </t>
  </si>
  <si>
    <t xml:space="preserve">FORNEC. E LANÇAMENTO DE        CONCRETO FCK 35MPA SLUMP 12+-2                       </t>
  </si>
  <si>
    <t xml:space="preserve">FORNEC. E LANÇAMENTO DE        CONCRETO FCK 35MPA SLUMP 16+-3                       </t>
  </si>
  <si>
    <t xml:space="preserve">CUMEEIRA SHED PARA TELHA ONDULADA DE FIBROCIMENTO, E = 6 MM, ABA 280 MM, COMPRIMENTO 1100 MM (SEM AMIANTO)  </t>
  </si>
  <si>
    <t xml:space="preserve">FORNECIMENTO CORTE E DOBRA E   APLICAÇÃO DE AÇO CA-50 - Ø10,0                       </t>
  </si>
  <si>
    <t xml:space="preserve">DECK EM MADEIRA TEKA À DEFINIR                              </t>
  </si>
  <si>
    <t>FORNECIMENTO CORTE E DOBRA E APLICAÇÃO DE AÇO CA-50 - Ø16,0</t>
  </si>
  <si>
    <t xml:space="preserve">FORNECIMENTO CORTE E DOBRA E   APLICAÇÃO DE AÇO CA-50 - Ø12,5                       </t>
  </si>
  <si>
    <t xml:space="preserve">DESMOLDANTE PROTETOR PARA FORMAS DE MADEIRA, DE BASE OLEOSA EMULSIONADA EM AGUA  </t>
  </si>
  <si>
    <t xml:space="preserve">FORNECIMENTO CORTE E DOBRA E   APLICAÇÃO DE AÇO CA-50 - Ø16,0                       </t>
  </si>
  <si>
    <t xml:space="preserve">DESPESA COM CREA/ART                                        </t>
  </si>
  <si>
    <t xml:space="preserve">PROTENSÃO </t>
  </si>
  <si>
    <t xml:space="preserve">FORNECIMENTO CORTE E DOBRA E   APLICAÇÃO DE AÇO CA-50 - Ø20,0                       </t>
  </si>
  <si>
    <t xml:space="preserve">DISJUNTOR TERMOMAGNETICO 20A 240V                           </t>
  </si>
  <si>
    <t>FORNECIMENTO E APLICAÇÃO DE TELA SOLDADA Q196</t>
  </si>
  <si>
    <t xml:space="preserve">FORNECIMENTO CORTE E DOBRA E   APLICAÇÃO DE AÇO CA-50 - Ø25,0                       </t>
  </si>
  <si>
    <t>FORNECIMENTO E APLICAÇÃO DE TELA SOLDADA Q283</t>
  </si>
  <si>
    <t xml:space="preserve">FORNECIMENTO CORTE E DOBRA E   APLICAÇÃO DE AÇO CA-50 - Ø5,0                        </t>
  </si>
  <si>
    <t>FORNECIMENTO E APLICAÇÃO DE TELA SOLDADA Q535</t>
  </si>
  <si>
    <t xml:space="preserve">FORNECIMENTO CORTE E DOBRA E   APLICAÇÃO DE AÇO CA-50 - Ø6,30                       </t>
  </si>
  <si>
    <t>FORNECIMENTO E APLICAÇÃO DE TELA SOLDADA Q503</t>
  </si>
  <si>
    <t xml:space="preserve">FORNECIMENTO CORTE E DOBRA E   APLICAÇÃO DE AÇO CA-50 - Ø8,0                        </t>
  </si>
  <si>
    <t xml:space="preserve">ELEVADOR THYSSENKRUPP 3 PARADAS                             </t>
  </si>
  <si>
    <t>FORNEC. E LANÇAMENTO DE CONCRETO FCK 35MPA SLUMP 16+-3 BRITA 0</t>
  </si>
  <si>
    <t xml:space="preserve">FORNECIMENTO CORTE E DOBRA E   APLICAÇÃO DE AÇO CA-50/60                            </t>
  </si>
  <si>
    <t xml:space="preserve">EMASSAMENTO E PINTURA COM TINTA LÁTEX SOBRE FORRO DE GESSO  (MT+MO)  </t>
  </si>
  <si>
    <t xml:space="preserve">FORNECIMENTO E APLICAÇÃO DE    TELA SOLDADA Q196                                    </t>
  </si>
  <si>
    <t xml:space="preserve">EMPREITEIRO ASSENTAMENTO DE ALVENARIA DE VEDAÇÃO            </t>
  </si>
  <si>
    <t>TRATAMENTO DE CONCRETO</t>
  </si>
  <si>
    <t xml:space="preserve">FORNECIMENTO E APLICAÇÃO DE    TELA SOLDADA Q283                                    </t>
  </si>
  <si>
    <t xml:space="preserve">EMPREITEIRO ASSENTAMENTO DE ALVENARIA ESTRUTURAL            </t>
  </si>
  <si>
    <t xml:space="preserve">REVESTIMENTO EM LAJE APARAENTE COM CONCRETO REGUADO </t>
  </si>
  <si>
    <t xml:space="preserve">FORNECIMENTO E APLICAÇÃO DE    TELA SOLDADA Q503                                    </t>
  </si>
  <si>
    <t xml:space="preserve">EMPREITEIRO ASSENTAMENTO DE PORCELANATO                     </t>
  </si>
  <si>
    <t>LOCAÇÃO GUARDA CORPO PROTEÇÃO DE PERIFERIA/POSTE LINHA DE VIDA</t>
  </si>
  <si>
    <t xml:space="preserve">FORNECIMENTO E APLICAÇÃO DE    TELA SOLDADA Q535                                    </t>
  </si>
  <si>
    <t xml:space="preserve">EMPREITEIRO ASSENTAMENTO DE RODAPE                          </t>
  </si>
  <si>
    <t>CABO DE AÇO LINHA DE VIDA</t>
  </si>
  <si>
    <t xml:space="preserve">FORNECIMENTO E EXECUÇÃO        PIN-CAN + FACHADA QUINAS  +                          </t>
  </si>
  <si>
    <t xml:space="preserve">EMPREITEIRO ASSENTAMENTO DE RODAPÉ EM POLIESTILENO  </t>
  </si>
  <si>
    <t>PISO EM CONCRETO ARMADO ESP = 15 CM FCK 25MPA (LAJE PISO) - QUADRA, PISO AREA TECNICA E SUBSOLO</t>
  </si>
  <si>
    <t xml:space="preserve">FORRO DE MADEIRA TAUARI, TIPO  MACHO-FÊMEA, RÉGUAS COM                              </t>
  </si>
  <si>
    <t xml:space="preserve">EMPREITEIRO ASSENTANDO ALVENARIA ACUSTICA                   </t>
  </si>
  <si>
    <t xml:space="preserve">ESTRUTURA METÁLICA </t>
  </si>
  <si>
    <t xml:space="preserve">FRETES ACABABAMENTOS                                                                </t>
  </si>
  <si>
    <t xml:space="preserve">EMPREITEIRO DE CORTE E DOBRA DE AÇO                         </t>
  </si>
  <si>
    <r>
      <t xml:space="preserve">EXECUÇÃO DE ESCADA METÁLICA </t>
    </r>
    <r>
      <rPr>
        <b/>
        <sz val="14"/>
        <color rgb="FF074F69"/>
        <rFont val="Aptos Narrow"/>
        <family val="2"/>
      </rPr>
      <t xml:space="preserve"> </t>
    </r>
  </si>
  <si>
    <t xml:space="preserve">FURADEIRA (1)                                                                       </t>
  </si>
  <si>
    <t xml:space="preserve">EMPREITEIRO DE ESCAVAÇÃO MANUAL DE VALAS  </t>
  </si>
  <si>
    <t>INSTALAÇÕES ELÉTRICAS/HIDRAULICAS/ESPECIAIS/ILUMINAÇÃO</t>
  </si>
  <si>
    <t xml:space="preserve">GERADOR 75kva                                                                       </t>
  </si>
  <si>
    <t xml:space="preserve">EMPREITEIRO DE FORMA                                        </t>
  </si>
  <si>
    <t>INSTALAÇÕES ELÉTRICAS/SPDA/ TELEFONIA/CFTV/AUTOMAÇÃO ( MATERIAL )</t>
  </si>
  <si>
    <t xml:space="preserve">GESSO ACARTONADO TABICADO,     RESISTENTE A UMIDADE, COM                            </t>
  </si>
  <si>
    <t xml:space="preserve">EMPREITEIRO DE INSTALAÇÃO DE TELA NERVURADA SOLDADA         </t>
  </si>
  <si>
    <t>INSTALAÇÕES ELÉTRICAS/SPDA/ TELEFONIA/CFTV/AUTOMAÇÃO ( MÃO DE OBRA)</t>
  </si>
  <si>
    <t xml:space="preserve">GUARDA CORPO METALICO COM      VIDRO LAMINADO (JARDIM  E                            </t>
  </si>
  <si>
    <t xml:space="preserve">EMPREITEIRO ENCUNHAMENTO ALVENARIA                          </t>
  </si>
  <si>
    <t>INSTALAÇÕES HIDRAULICAS - ESGOTO/ÁGUA FRIA E QUENTE ( MATERIAL )</t>
  </si>
  <si>
    <t xml:space="preserve">GUARDA CORPO METALICO COM      VIDRO LAMINADO (SUITE 03)                            </t>
  </si>
  <si>
    <t xml:space="preserve">EMPREITEIRO EXECUÇÃO PIN CAN                                </t>
  </si>
  <si>
    <t>INSTALAÇÕES HIDRAULICAS - ESGOTO/ÁGUA FRIA E QUENTE ( MÃO DE OBRA)</t>
  </si>
  <si>
    <t xml:space="preserve">IMPERMEABILIZAÇÃO COM SISTEMA  HEM                                                  </t>
  </si>
  <si>
    <t xml:space="preserve">EMPREITEIRO EXECUÇÃO PISO EM CONCRETO                       </t>
  </si>
  <si>
    <r>
      <t xml:space="preserve">LUMINOTÉCNICO </t>
    </r>
    <r>
      <rPr>
        <b/>
        <sz val="14"/>
        <color rgb="FF074F69"/>
        <rFont val="Aptos Narrow"/>
        <family val="2"/>
      </rPr>
      <t>(LUCIANA BRANDÃO)</t>
    </r>
    <r>
      <rPr>
        <sz val="14"/>
        <color rgb="FF000000"/>
        <rFont val="Aptos Narrow"/>
        <family val="2"/>
      </rPr>
      <t>, EXCLUSO PENDENTES E LUMINÁRIAS DECORATIVAS</t>
    </r>
  </si>
  <si>
    <t xml:space="preserve">IMPERMEABULIZAÇÃO COM MANTA    DUPLA - PISCINA, SPA E FOGO DE                       </t>
  </si>
  <si>
    <t xml:space="preserve">EMPREITEIRO INSTALAÇÃO DE CANTONEIRA                        </t>
  </si>
  <si>
    <r>
      <t xml:space="preserve">AR CONDICIONADO, INFRAESTRUTURA + EQUIPAMENTOS </t>
    </r>
    <r>
      <rPr>
        <b/>
        <sz val="14"/>
        <color rgb="FF104861"/>
        <rFont val="Aptos Narrow"/>
        <family val="2"/>
      </rPr>
      <t xml:space="preserve"> (ELO CLIMATIZAÇÃO)</t>
    </r>
  </si>
  <si>
    <t xml:space="preserve">IMPERMEABULIZAÇÃO MANTA        SIMPLES - COBERTURA, ESCADA E                        </t>
  </si>
  <si>
    <t xml:space="preserve">EMPREITEIRO INSTALAÇÕES ELETRICAS                           </t>
  </si>
  <si>
    <r>
      <t xml:space="preserve">ELEVADOR THYSSENKRUPP 3 PARADAS  </t>
    </r>
    <r>
      <rPr>
        <b/>
        <sz val="14"/>
        <color rgb="FF153D64"/>
        <rFont val="Aptos Narrow"/>
        <family val="2"/>
      </rPr>
      <t>(THYSSENKRUPP)</t>
    </r>
  </si>
  <si>
    <t xml:space="preserve">IMPERMEABULIZAÇÃO MANTA DUPLA  - VARANDA 3MM + 4MM                                  </t>
  </si>
  <si>
    <t xml:space="preserve">EMPREITEIRO INSTALAÇÕES HIDRAULICAS                         </t>
  </si>
  <si>
    <r>
      <t xml:space="preserve">EQUIPAMENTOS PISCINA E AQUECIMENTO </t>
    </r>
    <r>
      <rPr>
        <b/>
        <sz val="14"/>
        <color rgb="FF153D64"/>
        <rFont val="Aptos Narrow"/>
        <family val="2"/>
      </rPr>
      <t>(BOM CALOR)</t>
    </r>
  </si>
  <si>
    <t xml:space="preserve">IMPERMEABULIZAÇÃO MANTA DUPLA- JARDIM - 3MM + ANTIRAIZ                              </t>
  </si>
  <si>
    <t xml:space="preserve">EMPREITEIRO MARCAÇÃO DE ALVENARIA                           </t>
  </si>
  <si>
    <r>
      <t xml:space="preserve">USINA FOTOVOLTAICA </t>
    </r>
    <r>
      <rPr>
        <b/>
        <sz val="14"/>
        <color rgb="FF074F69"/>
        <rFont val="Aptos Narrow"/>
        <family val="2"/>
      </rPr>
      <t>(TEMPLÁRIA)</t>
    </r>
  </si>
  <si>
    <t xml:space="preserve">IMPERMEABULIZAÇÃO SISTEMA HEM  ÁREAS MOLHADAS, PEITORIL                             </t>
  </si>
  <si>
    <t xml:space="preserve">EMPREITEIRO PARA ASSENTAMENTO DE BANCADA                    </t>
  </si>
  <si>
    <r>
      <t xml:space="preserve">SISTEMA DE AUTOMAÇÃO - </t>
    </r>
    <r>
      <rPr>
        <b/>
        <sz val="14"/>
        <color rgb="FF074F69"/>
        <rFont val="Aptos Narrow"/>
        <family val="2"/>
      </rPr>
      <t xml:space="preserve"> (SMART)</t>
    </r>
    <r>
      <rPr>
        <sz val="14"/>
        <color rgb="FF000000"/>
        <rFont val="Aptos Narrow"/>
        <family val="2"/>
      </rPr>
      <t xml:space="preserve"> </t>
    </r>
  </si>
  <si>
    <t xml:space="preserve">INSTALAÇÕES ELÉTRICAS/SPDA/    TELEFONIA/CFTV/AUTOMAÇÃO (                           </t>
  </si>
  <si>
    <t xml:space="preserve">EMPREITEIRO PARA CHAPISCO                                   </t>
  </si>
  <si>
    <r>
      <t xml:space="preserve">SISTEMA ANTI MOFO </t>
    </r>
    <r>
      <rPr>
        <b/>
        <sz val="14"/>
        <color rgb="FF104861"/>
        <rFont val="Aptos Narrow"/>
        <family val="2"/>
      </rPr>
      <t xml:space="preserve">(ECOENERGY) </t>
    </r>
  </si>
  <si>
    <t xml:space="preserve">INSTALAÇÕES ELÉTRICAS/SPDA/    TELEFONIA/CFTV/AUTOMAÇÃO ( MÃO                       </t>
  </si>
  <si>
    <t xml:space="preserve">EMPREITEIRO PARA EXECUÇÃO DE CONTRAPISO                     </t>
  </si>
  <si>
    <t>GERADOR 75kva</t>
  </si>
  <si>
    <t xml:space="preserve">INSTALAÇÕES HIDRAULICAS -      ESGOTO/ÁGUA FRIA E QUENTE (                          </t>
  </si>
  <si>
    <t xml:space="preserve">EMPREITEIRO PARA PLANTIO DE GRAMA                           </t>
  </si>
  <si>
    <t>ALVENARIA E VEDAÇÕES</t>
  </si>
  <si>
    <t xml:space="preserve">ITENS PARA INSTALAÇÕES         PROVISÓRIAS ( 2 BEBEDOURO E 2                        </t>
  </si>
  <si>
    <t xml:space="preserve">EMPREITEIRO PARA REBOCO                                     </t>
  </si>
  <si>
    <t>MARCAÇÃO DE ALVENARIA</t>
  </si>
  <si>
    <t xml:space="preserve">KIT BACIA CONVENCIONAL  LINHA  LISS BRANCA Cod. 00974666                            </t>
  </si>
  <si>
    <t xml:space="preserve">EMPREITEIRO SARRAFEAMENTO DE PISO EM CONCRETO               </t>
  </si>
  <si>
    <t>ENCUNHAMENTO ALVENARIA</t>
  </si>
  <si>
    <t xml:space="preserve">KIT BACIA LINHA LISS ONIX      PRETA Cod. 12009746119                               </t>
  </si>
  <si>
    <t xml:space="preserve">ENGENHEIRO DE OBRA (PJ)                                     </t>
  </si>
  <si>
    <t>ALVENARIA EM TIJOLO CERÂMICO FURADO DE VEDAÇÃO E = 20CM</t>
  </si>
  <si>
    <t xml:space="preserve">LEVANTAMENTO TOPOGRÁFICO                                                            </t>
  </si>
  <si>
    <t xml:space="preserve">EPIs                                                        </t>
  </si>
  <si>
    <t xml:space="preserve">ALVENARIA EM TIJOLO CERÂMICO FURADO ACUSTICO  DE VEDAÇÃO E = 15CM </t>
  </si>
  <si>
    <t xml:space="preserve">LIMPEZA FINAL PARA ENTREGA DA  OBRA                                                 </t>
  </si>
  <si>
    <t xml:space="preserve">EQUIPAMENTOS DE AR CONDICIONAD                              </t>
  </si>
  <si>
    <t>VERGA E CONTRAVERGA EM CONCRETO ARMADO</t>
  </si>
  <si>
    <t xml:space="preserve">LOCAÇÃO DE ANDAIME FACHADEIRO  (6 MESES)                                            </t>
  </si>
  <si>
    <t xml:space="preserve">EQUIPAMENTOS PISCINA E AQUECIMENTO                          </t>
  </si>
  <si>
    <t xml:space="preserve">IMPERMEABILIZAÇÃO </t>
  </si>
  <si>
    <t xml:space="preserve">LOCACAO DE ANDAIME TUBULAR /   PLATAFORMA                                           </t>
  </si>
  <si>
    <t xml:space="preserve">ESCADA METÁLICA                                             </t>
  </si>
  <si>
    <t xml:space="preserve">IMPERMEABULIZAÇÃO COM MANTA DUPLA - PISCINA, SPA E FOGO DE CHÃO - 3MM + 2X 4MM +  SISTEMA HEM </t>
  </si>
  <si>
    <t xml:space="preserve">LOCACAO DE BOB-CAT  /          RETROESCAVADEIRA                                     </t>
  </si>
  <si>
    <t xml:space="preserve">ESCAVAÇÃO DE ESTACA TIPO TRADO Ø500mm                       </t>
  </si>
  <si>
    <t>IMPERMEABULIZAÇÃO MANTA DUPLA- JARDIM - 3MM + ANTIRAIZ</t>
  </si>
  <si>
    <t xml:space="preserve">LOCAÇÃO DE CAÇAMBAS                                                                 </t>
  </si>
  <si>
    <t xml:space="preserve">ESCAVAÇÃO ESTACA A TRADO MECANIZADO DN 80CM  </t>
  </si>
  <si>
    <t>IMPERMEABULIZAÇÃO MANTA DUPLA - VARANDA 3MM + 4MM</t>
  </si>
  <si>
    <t xml:space="preserve">LOCAÇÃO DE IMPRESSORA                                                               </t>
  </si>
  <si>
    <t xml:space="preserve">ESCAVAÇÃO ESTACA A TRADO MECANIZADO DN 90CM                 </t>
  </si>
  <si>
    <t>IMPERMEABULIZAÇÃO MANTA SIMPLES - COBERTURA, ESCADA E RAMPA - 4MM</t>
  </si>
  <si>
    <t xml:space="preserve">LOCAÇÃO GUARDA CORPO PROTEÇÃO  DE PERIFERIA/POSTE LINHA DE                          </t>
  </si>
  <si>
    <t xml:space="preserve">ESCAVAÇÃO MANUAL DE TUBULÕES                                </t>
  </si>
  <si>
    <t>IMPERMEABULIZAÇÃO SISTEMA HEM ÁREAS MOLHADAS, PEITORIL</t>
  </si>
  <si>
    <t xml:space="preserve">LUMINOTÉCNICO (LUCIANA         BRANDÃO), EXCLUSO PENDENTES E                        </t>
  </si>
  <si>
    <t xml:space="preserve">ESCORAMENTO METÁLICO                                        </t>
  </si>
  <si>
    <t>PROTEÇÃO MECÂNICA</t>
  </si>
  <si>
    <t xml:space="preserve">MANTA ARDOSIADA COBERTURA                                                           </t>
  </si>
  <si>
    <t xml:space="preserve">ESMERILHADEIRA 411                                          </t>
  </si>
  <si>
    <t>CANTONEIRA METÁLICA (PERIMETRO)</t>
  </si>
  <si>
    <t xml:space="preserve">MANTA GEOTÊXTIL                                                                     </t>
  </si>
  <si>
    <t xml:space="preserve">ESPACADOR / DISTANCIADOR CIRCULAR COM ENTRADA LATERAL, EM PLASTICO, PARA VERGALHAO *4,2 A 12,5* MM, COBRIMENTO 20 MM  </t>
  </si>
  <si>
    <t xml:space="preserve">MANTA ARDOSIADA COBERTURA </t>
  </si>
  <si>
    <t xml:space="preserve">MANUTENÇÃO DE EQUIPAMENTOS E   FERRAMENTAS                                          </t>
  </si>
  <si>
    <t xml:space="preserve">ESPUMA EXPANSIVA POLIURETANO                                </t>
  </si>
  <si>
    <t>REVESTIMENTO DE PAREDES (MASSA)</t>
  </si>
  <si>
    <t xml:space="preserve">MANUTENÇÃO DO CANTEIRO DE OBRA                                                      </t>
  </si>
  <si>
    <t>CHAPISCO INTERNO</t>
  </si>
  <si>
    <t xml:space="preserve">MARCAÇÃO DE ALVENARIA                                                               </t>
  </si>
  <si>
    <t xml:space="preserve">ESTAGIÁRIO DE OBRAS                                         </t>
  </si>
  <si>
    <t>REBOCO PAULISTA/EMBOÇO INTERNO</t>
  </si>
  <si>
    <t xml:space="preserve">MARTELETE 05 KG (1)                                                                 </t>
  </si>
  <si>
    <t xml:space="preserve">ESTRUTURA AUXILIAR PARA RECEBE FORRO EM MARMORE             </t>
  </si>
  <si>
    <t xml:space="preserve">FORNECIMENTO E EXECUÇÃO PIN-CAN + FACHADA QUINAS  + FUNDO DE VIGA </t>
  </si>
  <si>
    <t xml:space="preserve">MARTELETE 10 KG (1)                                                                 </t>
  </si>
  <si>
    <t xml:space="preserve">EXECUÇÃO DE PAISAGISMO                                      </t>
  </si>
  <si>
    <t>REVESTIMENTO DE PISO MASSA</t>
  </si>
  <si>
    <t xml:space="preserve">MATERIAL DE HIGIENE E LIMPEZA                                                       </t>
  </si>
  <si>
    <t xml:space="preserve">EXECUÇÃO DE TERRAPLENAGEM                                   </t>
  </si>
  <si>
    <t>CONTRAPISO ESP= 4 CM</t>
  </si>
  <si>
    <t xml:space="preserve">MEDICAMENTO PRIMEIROS SOCORROS                                                      </t>
  </si>
  <si>
    <t xml:space="preserve">FITA CREPE ROLO DE 25 MM X 50 M  </t>
  </si>
  <si>
    <t>CONTRAPISO ESP= 6 CM</t>
  </si>
  <si>
    <t xml:space="preserve">MESTRE DE OBRAS                                                                     </t>
  </si>
  <si>
    <t xml:space="preserve">FORNECIMENTO DE ILUMINAÇÃO                                  </t>
  </si>
  <si>
    <t>REGULARIZAÇÃO DE SUPERFÍCIE PARA IMPERMEABILIZAÇÃO 4CM</t>
  </si>
  <si>
    <t xml:space="preserve">MISTURADOR DE COZINHA LINHA    VITALIS Cod. 01579606                                </t>
  </si>
  <si>
    <t xml:space="preserve">FORRO EM GESSO LISO FGE                                     </t>
  </si>
  <si>
    <t xml:space="preserve">REVESTIMENTO DE PAREDES (ACABAMENTOS) </t>
  </si>
  <si>
    <t xml:space="preserve">MISTURADOR LINHA ARGON         BANHEIROS BICA BAIXA Cod.                            </t>
  </si>
  <si>
    <t xml:space="preserve">FORRO EM MADEIRA TAUARI                                     </t>
  </si>
  <si>
    <t>REVESTIMENTO DE PAREDE EM MÁRMORE TRAVERTINO BRUTO RETANGULAR</t>
  </si>
  <si>
    <t xml:space="preserve">MISTURADOR LINHA MIX &amp; MATCH   NÍQUEL BANHEIROS COM BICA 230                        </t>
  </si>
  <si>
    <t>REVESTIMENTO DE PAREDE EM LIMESTONE</t>
  </si>
  <si>
    <t xml:space="preserve">MOBILIZAÇÃO E DESMOBILIZAÇÃO   DE BARRACÃO DE OBRA                                  </t>
  </si>
  <si>
    <t xml:space="preserve">GEOTEXTIL NAO TECIDO AGULHADO DE FILAMENTOS CONTINUOS 100% POLIESTER, RESITENCIA A TRACAO = 10 KN/M  </t>
  </si>
  <si>
    <t>REVESTIMENTO DE PAREDE EM PAINEL TEKA</t>
  </si>
  <si>
    <t xml:space="preserve">MOBILIZAÇÃO E DESMOBILIZAÇÃO   DE EQUIPAMENTOS TRADO                                </t>
  </si>
  <si>
    <t>REVESTIMENTO DE PAREDE EM PORCELANATO YORK
(90X90CM)</t>
  </si>
  <si>
    <t xml:space="preserve">MONTAGEM E DESMONTAGEM DE      ANDAIME FACHADEIRO                                   </t>
  </si>
  <si>
    <t xml:space="preserve">GRAMA ESMERALDA OU SAO CARLOS OU CURITIBANA, EM PLACAS, SEM PLANTIO  </t>
  </si>
  <si>
    <t>REVESTIMENTO DE PAREDE EM MÁRMORE TRAVERTINO PAGINADO</t>
  </si>
  <si>
    <t xml:space="preserve">NICHO EM MARMORE TRAVERTINO                                                         </t>
  </si>
  <si>
    <t>REVESTIMENTO DE PAREDE EM ONIX VERDE</t>
  </si>
  <si>
    <t xml:space="preserve">OPERADOR DE GUINCHO                                                                 </t>
  </si>
  <si>
    <t>REVESTIMENTO DE PAREDE EM QUARTZITO TAJ MAHAL</t>
  </si>
  <si>
    <t xml:space="preserve">P01 PORTA DE MADEIRA           PIVOTANTE 210 X 400                                  </t>
  </si>
  <si>
    <t>REVESTIMENTO DE PAREDE EM  PORCELANATO ROCA</t>
  </si>
  <si>
    <t xml:space="preserve">P02 PORTA DE MADEIRA           PIVOTANTE 127 X 286                                  </t>
  </si>
  <si>
    <t>REVESTIMENTO DE PAREDE EM TRAVERTINO RESINADO PAGINADO</t>
  </si>
  <si>
    <t xml:space="preserve">P03 PORTA DE MADEIRA           PIVOTANTE 85 X 250                                   </t>
  </si>
  <si>
    <t>REVESTIMENTO DE PISOS (ACABAMENTOS)</t>
  </si>
  <si>
    <t xml:space="preserve">P05 PORTA DE MADEIRA           PIVOTANTE 100 X 250                                  </t>
  </si>
  <si>
    <t xml:space="preserve">REVESTIMENTO DE PISO EM MIRAGE SLIGHT 120X120CM </t>
  </si>
  <si>
    <t xml:space="preserve">P05 PORTA PIVOTANTE ESPECIAL   PARA ADEGA COM VIDRO INSULADO                        </t>
  </si>
  <si>
    <t>REVESTIMENTO DE PISO EM GRANITO BRANCO SIENA APICOADO</t>
  </si>
  <si>
    <t xml:space="preserve">P08 PORTA DE MADEIRA  CORRE 2  FOLHAS 140 X 250                                     </t>
  </si>
  <si>
    <t>REVESTIMENTO DE PISO EM MADEIRA ESTRUTURADA INDUSPARQUET</t>
  </si>
  <si>
    <t xml:space="preserve">P09 PORTA DE MADEIRA           PIVOTANTE PADRÃO 118 X 250                           </t>
  </si>
  <si>
    <t xml:space="preserve">INSTALAÇÕES ELETRICAS (MATERIAL ESTIMADO)                   </t>
  </si>
  <si>
    <t>REVESTIMENTO DE PISO  EM MADEIRA TEKA À DEFINIR (DECK)</t>
  </si>
  <si>
    <t xml:space="preserve">P12 PORTA DE MADEIRA           PIVOTANTE PADRÃO 90 X 250                            </t>
  </si>
  <si>
    <t xml:space="preserve">INSTALAÇÕES FOTOVOLTAICAS                                   </t>
  </si>
  <si>
    <t>REVESTIMENTO DE PISO EM MÁRMORE TRAVERTINO BRUTO PAGINADO</t>
  </si>
  <si>
    <t xml:space="preserve">P13 PORTA DE MADEIRA           PIVOTANTE PADRÃO 80 X 250                            </t>
  </si>
  <si>
    <t xml:space="preserve">INSTALAÇÕES HIDRAULICAS (MATERIAL ESTIMADO)                 </t>
  </si>
  <si>
    <t>REVESTIMENTO DE PISO EM MÁRMORE TRAVERTINO ESTUCADO COM MASSA PLÁSTICA</t>
  </si>
  <si>
    <t xml:space="preserve">P15 PORTA DE MADEIRA           PIVOTANTE 75 X 286                                   </t>
  </si>
  <si>
    <t>REVESTIMENTO DE PISO EM MÁRMORE ONIX VERDE PAGINADO</t>
  </si>
  <si>
    <t xml:space="preserve">P18 CORRE DE MADEIRA 2 FOLHAS  140X286 CM                                           </t>
  </si>
  <si>
    <t>REVESTIMENTO DE PISO VINILICO INTERFLOOR NOGUEIRA RÚSTICO</t>
  </si>
  <si>
    <t xml:space="preserve">P19 PORTA DE MADEIRA           PIVOTANTE PADRÃO BANDEIRA FIXA                       </t>
  </si>
  <si>
    <t xml:space="preserve">KIT CABO DE AÇO LINHA DE VIDA + ACESSÓRIOS                  </t>
  </si>
  <si>
    <t>REVESTIMENTO DE PISO EM PORCELANATO YORK PORTINARI 90X90 CM</t>
  </si>
  <si>
    <t xml:space="preserve">P20 PORTA DE MADEIRA           PIVOTANTE PADRÃO 85 X 250                            </t>
  </si>
  <si>
    <t xml:space="preserve">LAMINA SINTERIZADA                                          </t>
  </si>
  <si>
    <t>REVESTIMENTO DE PISO EM QUARTZITO TAJ MAHAL PAGINADO</t>
  </si>
  <si>
    <t xml:space="preserve">P22 PORTA DE MADEIRA           PIVOTANTE PADRÃO 75 X 286                            </t>
  </si>
  <si>
    <t xml:space="preserve">LEVANTAMENTO TOPOGRÁFICO  </t>
  </si>
  <si>
    <t>PROTEÇÃO DE PISO "SALVA PISO"</t>
  </si>
  <si>
    <t xml:space="preserve">P23 PORTA DE MADEIRA           PIVOTANTE PADRÃO 118 X 280                           </t>
  </si>
  <si>
    <t xml:space="preserve">LEVANTAMENTO TOPOGRAFICO                                    </t>
  </si>
  <si>
    <t>RODAPÉS/BANCADAS</t>
  </si>
  <si>
    <t xml:space="preserve">P24 PORTA DE MADEIRA           PIVOTANTE PADRÃO 85 X 280                            </t>
  </si>
  <si>
    <t xml:space="preserve">LIMPEZA FINAL DE OBRA                                       </t>
  </si>
  <si>
    <t>BANCADA EM GRANITO BRANCO SIENA</t>
  </si>
  <si>
    <t xml:space="preserve">P25 PORTA DE MADEIRA           PIVOTANTE PADRÃO 80 X 280                            </t>
  </si>
  <si>
    <t xml:space="preserve">LIXA EM FOLHA PARA PAREDE OU MADEIRA, NUMERO 120 (COR VERMELHA)  </t>
  </si>
  <si>
    <t>BANCADA ESCULPIDA EM MARMORE TRAVERTINO</t>
  </si>
  <si>
    <t xml:space="preserve">P26 CORRE EMBUTIDA MADEIRA 2   FOLHAS 100X280 CM                                    </t>
  </si>
  <si>
    <t xml:space="preserve">LOCAÇÃO  DE IMPRESSORA                                      </t>
  </si>
  <si>
    <t>BANCADA ESCULPIDA EM ÔNIX VERDE</t>
  </si>
  <si>
    <t xml:space="preserve">P27 CORRE EMBUTIDA MADEIRA 2   FOLHAS 240X280 CM                                    </t>
  </si>
  <si>
    <t xml:space="preserve">LOCACAO DE AINDAIME                                         </t>
  </si>
  <si>
    <t>BANCADA ESCULPIDA EM QUARTZITO TAJ MAHAL</t>
  </si>
  <si>
    <t xml:space="preserve">P29 CORRE EMBUTIDA MADEIRA  2  FOLHAS 200X280CM                                     </t>
  </si>
  <si>
    <t xml:space="preserve">LOCACAO DE ANDAIME METALICO TIPO FACHADEIRO, LARGURA DE 1,20 M, ALTURA POR PECA DE 2,0 M, INCLUINDO SAPATAS E ITENS NECESSARIOS A INSTALACAO  </t>
  </si>
  <si>
    <t>BANCADA EM QUARTZITO MONALISA</t>
  </si>
  <si>
    <t xml:space="preserve">P32 PORTA DE MADEIRA  CORRE 95 X 290                                                </t>
  </si>
  <si>
    <t xml:space="preserve">LOCACAO DE BOB-CAT                                          </t>
  </si>
  <si>
    <t>BANCADA ESCULPIDA EM LAMINA SINTERIZADA</t>
  </si>
  <si>
    <t xml:space="preserve">P33 PORTA DE MADEIRA           PIVOTANTE PADRÃO 85 X 290                            </t>
  </si>
  <si>
    <t xml:space="preserve">LOCAÇÃO DE CAÇAMBA                                          </t>
  </si>
  <si>
    <t>NICHO EM MARMORE TRAVERTINO</t>
  </si>
  <si>
    <t xml:space="preserve">P34 PORTA METÁLICA VENEZIANA 2 FOLHAS 200X290CM                                     </t>
  </si>
  <si>
    <t xml:space="preserve">LOCACAO DE FURADEIRA ELÉTRICA                               </t>
  </si>
  <si>
    <t>RODAPÉ EM MARMORE TRAVERTINO + PERFIL METÁLICO</t>
  </si>
  <si>
    <t xml:space="preserve">P35 PORTÃO DE ABRIR 480X290CM  À DEFINIR                                            </t>
  </si>
  <si>
    <t xml:space="preserve">LOCACAO DE MARTELETE 5 KG                                   </t>
  </si>
  <si>
    <t>RODAPÉ EM PORCELANATO MIRAGE LIGHT + PERFIL METALICO</t>
  </si>
  <si>
    <t xml:space="preserve">P36 PORTA DE MADEIRA           PIVOTANTE PADRÃO 150 X 290                           </t>
  </si>
  <si>
    <t xml:space="preserve">LOCACAO DE SERRA MARMORE                                    </t>
  </si>
  <si>
    <t>RODAPÉ EM PERFIL METÁLICO 2X1 CM</t>
  </si>
  <si>
    <t xml:space="preserve">PEDREIRO DE APOIO                                                                   </t>
  </si>
  <si>
    <t>RODAPÉ EM PORCELANATO YORK + PERFIL METALICO</t>
  </si>
  <si>
    <t xml:space="preserve">PEDREIRO MEI                                                                        </t>
  </si>
  <si>
    <t xml:space="preserve">LONA PLASTICA PRETA, E= 150 MICRA  </t>
  </si>
  <si>
    <t xml:space="preserve">ESQUADRIAS METÁLICAS (CINEX + SCHUCO) </t>
  </si>
  <si>
    <t xml:space="preserve">PEQUENAS FERRAMENTAS                                                                </t>
  </si>
  <si>
    <t xml:space="preserve">MADEIRA ROLICA TRATADA, EUCALIPTO OU EQUIVALENTE DA REGIAO, H = 2,2 M, D = 8 A 11 CM (PARA CERCA)  </t>
  </si>
  <si>
    <t>ESQUADRIAS METALICAS - PORTAS E JANELAS</t>
  </si>
  <si>
    <t xml:space="preserve">PERFIL EM INOX PERIMETRO       ESQUADRIAS                                           </t>
  </si>
  <si>
    <t>GUARDA CORPO METALICO COM VIDRO LAMINADO (JARDIM  E VARANDA COBERTA)</t>
  </si>
  <si>
    <t xml:space="preserve">PINTURA ACRÍLICA DE TUBULAÇÕES                                                      </t>
  </si>
  <si>
    <t xml:space="preserve">MANUTENÇÃO DE EQUIPAMENTOS E FERRAMENTAS                    </t>
  </si>
  <si>
    <t>GUARDA CORPO METALICO COM VIDRO LAMINADO (SUITE 03)</t>
  </si>
  <si>
    <t xml:space="preserve">PINTURA EPOXI PARA AREAS       TÉCNICAS                                             </t>
  </si>
  <si>
    <t xml:space="preserve">MARMITEIRO / ESTUFA                                         </t>
  </si>
  <si>
    <t xml:space="preserve">BRISE EM RIPADO </t>
  </si>
  <si>
    <t xml:space="preserve">PINTURA SOBRE MASSA CORRIDA    ACABAMENTO FOSCO NA COR BRANCA                       </t>
  </si>
  <si>
    <t xml:space="preserve">MARMORE ONIX VERDE                                          </t>
  </si>
  <si>
    <t xml:space="preserve">ZENITAL METALICA, INCLUSIVE VIDRO </t>
  </si>
  <si>
    <t xml:space="preserve">PISO EM CONCRETO ARMADO ESP =  15 CM FCK 25MPA (LAJE PISO) -                        </t>
  </si>
  <si>
    <t xml:space="preserve">MÁRMORE TRAVERTINO ROMANO BRUTO (PAREDE)                    </t>
  </si>
  <si>
    <t>P35 PORTÃO DE ABRIR 480X290CM À DEFINIR</t>
  </si>
  <si>
    <t xml:space="preserve">PLACAS DE OBRA                                                                      </t>
  </si>
  <si>
    <t xml:space="preserve">MARTELETE 10KG                                              </t>
  </si>
  <si>
    <t>P34 PORTA METÁLICA VENEZIANA 2 FOLHAS 200X290CM</t>
  </si>
  <si>
    <t xml:space="preserve">PLACAS DE SINALIZAÇÃO DE       SEGURANÇA                                            </t>
  </si>
  <si>
    <t xml:space="preserve">MASSA CORRIDA PVA PARA PAREDES INTERNAS  </t>
  </si>
  <si>
    <t xml:space="preserve">PERFIL EM INOX PERIMETRO ESQUADRIAS </t>
  </si>
  <si>
    <t xml:space="preserve">PLANTIO DE GRAMA                                                                    </t>
  </si>
  <si>
    <t xml:space="preserve">MATERIAIS DIVERSOS PARA MANUTENÇÃO DE CANTEIRO              </t>
  </si>
  <si>
    <t>SERVIÇOS DE SERRALHERIA EM GERAL</t>
  </si>
  <si>
    <t xml:space="preserve">POLICORTE                                                                           </t>
  </si>
  <si>
    <t xml:space="preserve">MATERIAL DE HIGIENE E LIMPEZA                               </t>
  </si>
  <si>
    <t xml:space="preserve">PORTAS DE MADEIRA/ARMÁRIOS </t>
  </si>
  <si>
    <t xml:space="preserve">PROJETOS E EXECUÇÃO DE         PAISAGISMO                                           </t>
  </si>
  <si>
    <t xml:space="preserve">MEDICAMENTO PRIMEIROS SOCORROS                              </t>
  </si>
  <si>
    <t xml:space="preserve">P01 PORTA DE MADEIRA  PIVOTANTE 210 X 400 </t>
  </si>
  <si>
    <t xml:space="preserve">PROTEÇÃO DE PISO "SALVA PISO"                                                       </t>
  </si>
  <si>
    <t xml:space="preserve">MESTRE DE OBRAS (MENSALISTA)  </t>
  </si>
  <si>
    <t>P02 PORTA DE MADEIRA  PIVOTANTE 127 X 286</t>
  </si>
  <si>
    <t xml:space="preserve">PROTEÇÃO MECÂNICA                                                                   </t>
  </si>
  <si>
    <t xml:space="preserve">MIRAGE SLIGHT 120X120CM                                     </t>
  </si>
  <si>
    <t xml:space="preserve">P03 PORTA DE MADEIRA  PIVOTANTE 85 X 250 </t>
  </si>
  <si>
    <t xml:space="preserve">PROTENSÃO                                                                           </t>
  </si>
  <si>
    <t>P05 PORTA DE MADEIRA  PIVOTANTE 100 X 250</t>
  </si>
  <si>
    <t xml:space="preserve">RALO LINEAR EM INOX SOB MEDIDA                                                      </t>
  </si>
  <si>
    <t>P05 PORTA PIVOTANTE ESPECIAL PARA ADEGA COM VIDRO INSULADO</t>
  </si>
  <si>
    <t xml:space="preserve">REBOCO PAULISTA/EMBOÇO INTERNO                                                      </t>
  </si>
  <si>
    <t xml:space="preserve">P08 PORTA DE MADEIRA  CORRE 2 FOLHAS 140 X 250 </t>
  </si>
  <si>
    <t xml:space="preserve">REGULARIZAÇÃO DE SUPERFÍCIE    PARA IMPERMEABILIZAÇÃO 4CM                           </t>
  </si>
  <si>
    <t xml:space="preserve">MOBILIZAÇÃO E DESMOBILIZAÇÃO DE EQUIPAMENTO - CONTENÇÃO ETAPA 02  </t>
  </si>
  <si>
    <t xml:space="preserve">P09 PORTA DE MADEIRA  PIVOTANTE PADRÃO 118 X 250 </t>
  </si>
  <si>
    <t xml:space="preserve">RESERVATÓRIO 20.000L PARA ÁGUA IRRIGAÇÃO                                            </t>
  </si>
  <si>
    <t xml:space="preserve">MOBILIZAÇÃO E DESMOBILIZAÇÃO DE EQUIPAMENTO - FUNDAÇÃO  </t>
  </si>
  <si>
    <t>P12 PORTA DE MADEIRA  PIVOTANTE PADRÃO 90 X 250</t>
  </si>
  <si>
    <t xml:space="preserve">REVESTIMENTO DE PAREDE EM      LIMESTONE                                            </t>
  </si>
  <si>
    <t xml:space="preserve">MONITORAMENTO DE ALARME                                     </t>
  </si>
  <si>
    <t>P13 PORTA DE MADEIRA  PIVOTANTE PADRÃO 80 X 250</t>
  </si>
  <si>
    <t xml:space="preserve">REVESTIMENTO DE PAREDE EM      MÁRMORE TRAVERTINO BRUTO                             </t>
  </si>
  <si>
    <t xml:space="preserve">MONTAGEM E DESMONTAGEM DE FACHADEIRO                        </t>
  </si>
  <si>
    <t xml:space="preserve">P15 PORTA DE MADEIRA  PIVOTANTE 75 X 286 </t>
  </si>
  <si>
    <t xml:space="preserve">REVESTIMENTO DE PAREDE EM      MÁRMORE TRAVERTINO PAGINADO                          </t>
  </si>
  <si>
    <t xml:space="preserve">OPERADOR DE GUINCHO OU GUINCHEIRO (MENSALISTA)  </t>
  </si>
  <si>
    <t>P18 CORRE DE MADEIRA 2 FOLHAS 140X286 CM</t>
  </si>
  <si>
    <t xml:space="preserve">REVESTIMENTO DE PAREDE EM      PAINEL TEKA                                          </t>
  </si>
  <si>
    <t xml:space="preserve">P19 PORTA DE MADEIRA  PIVOTANTE PADRÃO BANDEIRA FIXA 118 X 286 </t>
  </si>
  <si>
    <t xml:space="preserve">REVESTIMENTO DE PAREDE EM      PORCELANATO ROCA                                     </t>
  </si>
  <si>
    <t>P20 PORTA DE MADEIRA  PIVOTANTE PADRÃO 85 X 250</t>
  </si>
  <si>
    <t xml:space="preserve">REVESTIMENTO DE PAREDE EM      PORCELANATO YORK  (90X90CM)                          </t>
  </si>
  <si>
    <t>P22 PORTA DE MADEIRA  PIVOTANTE PADRÃO 75 X 286</t>
  </si>
  <si>
    <t xml:space="preserve">REVESTIMENTO DE PAREDE EM      QUARTZITO TAJ MAHAL                                  </t>
  </si>
  <si>
    <t>P23 PORTA DE MADEIRA  PIVOTANTE PADRÃO 118 X 280</t>
  </si>
  <si>
    <t xml:space="preserve">REVESTIMENTO DE PAREDE EM      TRAVERTINO RESINADO PAGINADO                         </t>
  </si>
  <si>
    <t xml:space="preserve">P24 PORTA DE MADEIRA  PIVOTANTE PADRÃO 85 X 280 </t>
  </si>
  <si>
    <t xml:space="preserve">REVESTIMENTO DE PAREDE EM ONIX VERDE                                                </t>
  </si>
  <si>
    <t xml:space="preserve">P25 PORTA DE MADEIRA  PIVOTANTE PADRÃO 80 X 280 </t>
  </si>
  <si>
    <t xml:space="preserve">REVESTIMENTO DE PISO  EM       MADEIRA TEKA À DEFINIR (DECK)                        </t>
  </si>
  <si>
    <t>P26 CORRE EMBUTIDA MADEIRA 2 FOLHAS 100X280 CM</t>
  </si>
  <si>
    <t xml:space="preserve">REVESTIMENTO DE PISO EM        GRANITO BRANCO SIENA APICOADO                        </t>
  </si>
  <si>
    <t>P27 CORRE EMBUTIDA MADEIRA 2 FOLHAS 240X280 CM</t>
  </si>
  <si>
    <t xml:space="preserve">REVESTIMENTO DE PISO EM        MADEIRA ESTRUTURADA                                  </t>
  </si>
  <si>
    <t>P29 CORRE EMBUTIDA MADEIRA  2 FOLHAS 200X280CM</t>
  </si>
  <si>
    <t xml:space="preserve">REVESTIMENTO DE PISO EM        MÁRMORE ONIX VERDE PAGINADO                          </t>
  </si>
  <si>
    <t xml:space="preserve">P32 PORTA DE MADEIRA  CORRE 95 X 290 </t>
  </si>
  <si>
    <t xml:space="preserve">REVESTIMENTO DE PISO EM        MÁRMORE TRAVERTINO BRUTO                             </t>
  </si>
  <si>
    <t xml:space="preserve">P33 PORTA DE MADEIRA  PIVOTANTE PADRÃO 85 X 290 </t>
  </si>
  <si>
    <t xml:space="preserve">REVESTIMENTO DE PISO EM        MÁRMORE TRAVERTINO ESTUCADO                          </t>
  </si>
  <si>
    <t xml:space="preserve">P36 PORTA DE MADEIRA  PIVOTANTE PADRÃO 150 X 290 </t>
  </si>
  <si>
    <t xml:space="preserve">REVESTIMENTO DE PISO EM        PORCELANATO YORK PORTINARI                           </t>
  </si>
  <si>
    <t>ARMÁRIOS PLANEJADOS (ESTIMADO)</t>
  </si>
  <si>
    <t xml:space="preserve">REVESTIMENTO DE PISO EM        QUARTZITO TAJ MAHAL PAGINADO                         </t>
  </si>
  <si>
    <t>FORROS EM GESSO E MADEIRA</t>
  </si>
  <si>
    <t xml:space="preserve">REVESTIMENTO DE PISO EM MIRAGE SLIGHT 120X120CM                                     </t>
  </si>
  <si>
    <t>FORRO DE MADEIRA TAUARI OU FREIJÓ, TIPO MACHO‐FÊMEA, RÉGUAS COM LARGURA A DEFINIR COM BIT FECHADO DE 5MM DE LARGURA POR 10MM DE PROFUNDIDADE. ACABAMENTO COM VERNIZ INCOLOR FOSCO.</t>
  </si>
  <si>
    <t xml:space="preserve">REVESTIMENTO DE PISO VINILICO  INTERFLOOR NOGUEIRA RÚSTICO                          </t>
  </si>
  <si>
    <t>REVESTIMENTO DE TETO EM MÁRMORE TRAVERTINO</t>
  </si>
  <si>
    <t xml:space="preserve">REVESTIMENTO DE TETO EM        MÁRMORE TRAVERTINO                                   </t>
  </si>
  <si>
    <t>REVESTIMENTO DE TETO EM ONIX VERDE</t>
  </si>
  <si>
    <t xml:space="preserve">REVESTIMENTO DE TETO EM ACM                                                         </t>
  </si>
  <si>
    <t>REVESTIMENTO DE TETO EM ACM</t>
  </si>
  <si>
    <t xml:space="preserve">REVESTIMENTO DE TETO EM ONIX   VERDE                                                </t>
  </si>
  <si>
    <t xml:space="preserve">GESSO ACARTONADO TABICADO, RESISTENTE A UMIDADE, COM HASTES DE FIXAÇÃO, PINTURA ACRÍLICA SOBRE MASSA CORRIDA, ACABAMENTO FOSCO, COR BRANCO </t>
  </si>
  <si>
    <t xml:space="preserve">REVESTIMENTO EM LAJE APARAENTE COM CONCRETO REGUADO                                 </t>
  </si>
  <si>
    <t>FACHADA</t>
  </si>
  <si>
    <t xml:space="preserve">REVESTIMENTO EM TRAVERTINO     BRUTO PAGINADO                                       </t>
  </si>
  <si>
    <t>REVESTIMENTO EM TRAVERTINO BRUTO PAGINADO</t>
  </si>
  <si>
    <t xml:space="preserve">REVESTIMENTO PAREDE EM         LIMESTONE                                            </t>
  </si>
  <si>
    <t>REVESTIMENTO PAREDE EM LIMESTONE</t>
  </si>
  <si>
    <t xml:space="preserve">RODAPÉ EM MARMORE TRAVERTINO + PERFIL METÁLICO                                      </t>
  </si>
  <si>
    <t xml:space="preserve">PINTURA ACRILICA </t>
  </si>
  <si>
    <t xml:space="preserve">RODAPÉ EM PERFIL METÁLICO 2X1  CM                                                   </t>
  </si>
  <si>
    <t>PINTURA SOBRE MASSA CORRIDA ACABAMENTO FOSCO NA COR BRANCA - PAREDE</t>
  </si>
  <si>
    <t xml:space="preserve">RODAPÉ EM PORCELANATO MIRAGE   LIGHT + PERFIL METALICO                              </t>
  </si>
  <si>
    <t>TEXTURA NOVACOLOR À DEFINIR</t>
  </si>
  <si>
    <t xml:space="preserve">RODAPÉ EM PORCELANATO YORK +   PERFIL METALICO                                      </t>
  </si>
  <si>
    <t xml:space="preserve">PAINEL DE MADEIRA TEKA                                      </t>
  </si>
  <si>
    <t>PINTURA EPOXI PARA AREAS TÉCNICAS</t>
  </si>
  <si>
    <t xml:space="preserve">SARRAFEAMENTO DE LAJES                                                              </t>
  </si>
  <si>
    <t xml:space="preserve">PAPEL KRAFT BETUMADO  </t>
  </si>
  <si>
    <t xml:space="preserve">PINTURA SOBRE MASSA CORRIDA ACABAMENTO FOSCO NA COR BRANCA - TETO </t>
  </si>
  <si>
    <t xml:space="preserve">SEGURO DE OBRA (RISCO          ENGENHARIA)                                          </t>
  </si>
  <si>
    <t xml:space="preserve">PARAFUSO DE ACO TIPO CHUMBADOR PARABOLT, DIAMETRO 3/8", COMPRIMENTO 75 MM  </t>
  </si>
  <si>
    <t>PINTURA ACRÍLICA DE TUBULAÇÕES</t>
  </si>
  <si>
    <t xml:space="preserve">SEGURO DE VIDA                                                                      </t>
  </si>
  <si>
    <t xml:space="preserve">PECA DE MADEIRA NAO APARELHADA *7,5 X 7,5* CM (3 X 3 ") MACARANDUBA, ANGELIM OU EQUIVALENTE DA REGIAO  </t>
  </si>
  <si>
    <t xml:space="preserve">LOUÇAS E METAIS </t>
  </si>
  <si>
    <t xml:space="preserve">SERRA CIRCULAR MANUAL (1)                                                           </t>
  </si>
  <si>
    <t xml:space="preserve">PEDREIRO  </t>
  </si>
  <si>
    <t xml:space="preserve">RALO LINEAR EM INOX SOB MEDIDA </t>
  </si>
  <si>
    <t xml:space="preserve">SERRA MARMORE (2)                                                                   </t>
  </si>
  <si>
    <t xml:space="preserve">PEDREIRO DE APOIO                                           </t>
  </si>
  <si>
    <t>CUBA RET. EMBUTIDA LUXO DOCOL 390x390x140 cm Cod. 00969926</t>
  </si>
  <si>
    <t xml:space="preserve">SERVENTE DE APOIO                                                                   </t>
  </si>
  <si>
    <t xml:space="preserve">PEDREIRO MEI                                                </t>
  </si>
  <si>
    <t>BACIA LINHA LOGGICA COM CAIXA ACOPLADA</t>
  </si>
  <si>
    <t xml:space="preserve">SERVIÇOS DE SERRALHERIA EM     GERAL                                                </t>
  </si>
  <si>
    <t xml:space="preserve">PEQUENAS FERRAMENTAS                                        </t>
  </si>
  <si>
    <t>KIT BACIA CONVENCIONAL  LINHA LISS BRANCA Cod. 00974666</t>
  </si>
  <si>
    <t xml:space="preserve">SIFÃO PARA PAREDE LINHA TOP    Cod. 00322670                                        </t>
  </si>
  <si>
    <t>KIT BACIA LINHA LISS ONIX PRETA Cod. 12009746119</t>
  </si>
  <si>
    <t xml:space="preserve">SISTEMA ANTI MOFO (ECOENERGY)                                                       </t>
  </si>
  <si>
    <t xml:space="preserve">PERFIL METALICO "U" PARA RODAPE                             </t>
  </si>
  <si>
    <t>DUCHA HIGIENICA LINHA LISS  Cod. 00921106</t>
  </si>
  <si>
    <t xml:space="preserve">SISTEMA DE AUTOMAÇÃO -         (SMART)                                              </t>
  </si>
  <si>
    <t xml:space="preserve">PIN CAN EM ALUMINIO                                         </t>
  </si>
  <si>
    <t>DUCHA HIGIENICA LINHA LOGGICA Cod. 01137906</t>
  </si>
  <si>
    <t xml:space="preserve">SISTEMA DE IRRIGAÇÃO           (ESTIMADO)                                           </t>
  </si>
  <si>
    <t xml:space="preserve">PINO COM ARRUELA PARA FIXAÇÃO TELA EM ALVENARIA             </t>
  </si>
  <si>
    <t>CHUVEIRO DOCOL EDEN DE PAREDE</t>
  </si>
  <si>
    <t xml:space="preserve">TABEIRA PARA LOCAÇÃO DE OBRA                                                        </t>
  </si>
  <si>
    <t xml:space="preserve">PINTURA DE TUBULAÇÃO                                        </t>
  </si>
  <si>
    <t>SIFÃO PARA PAREDE LINHA TOP Cod. 00322670</t>
  </si>
  <si>
    <t xml:space="preserve">TAXAS CREA-MG                                                                       </t>
  </si>
  <si>
    <t xml:space="preserve">PINTURA EM TINTA EPOXI                                      </t>
  </si>
  <si>
    <t xml:space="preserve">TELA Q192 PARA COCHO                                                                </t>
  </si>
  <si>
    <t xml:space="preserve">PISO ESTRUTURADO IDUSPARQUET A DEFINIR                      </t>
  </si>
  <si>
    <t>ACABAMENTO DE REGISTRO LINHA LIFT CROMADO Cod. 00811906</t>
  </si>
  <si>
    <t xml:space="preserve">TEXTURA NOVACOLOR À DEFINIR                                                         </t>
  </si>
  <si>
    <t xml:space="preserve">PISO INTERFLOOR NOGUEIRA RUSTICO                            </t>
  </si>
  <si>
    <t>ACABAMENTO DE REGISTRO LINHA MIX &amp; MATCH NÍQUEL Cod. 00926470</t>
  </si>
  <si>
    <t xml:space="preserve">TOALHEIRO TERMICO DOCOL COZY   127V                                                 </t>
  </si>
  <si>
    <t xml:space="preserve">PLACA DE OBRA                                               </t>
  </si>
  <si>
    <t>TORNEIRA  LINHA LIFT CROMADO Cod. 00871906</t>
  </si>
  <si>
    <t xml:space="preserve">TORNEIRA  LINHA LIFT CROMADO   Cod. 00871906                                        </t>
  </si>
  <si>
    <t xml:space="preserve">PLACAS DE SINALIZAÇÃO                                       </t>
  </si>
  <si>
    <t>TORNEIRA LINHA MIX &amp; MATCH NÍQUEL  Cod. 00847769</t>
  </si>
  <si>
    <t xml:space="preserve">TORNEIRA LINHA MIX &amp; MATCH     NÍQUEL  Cod. 00847769                                </t>
  </si>
  <si>
    <t xml:space="preserve">POLICORTE                                                   </t>
  </si>
  <si>
    <t xml:space="preserve">MISTURADOR LINHA MIX &amp; MATCH NÍQUEL BANHEIROS COM BICA 230 Cód. 01251348 </t>
  </si>
  <si>
    <t xml:space="preserve">TRANSPORTE DE MATERIAL DE      QUALQUER NATUREZA                                    </t>
  </si>
  <si>
    <t xml:space="preserve">POLIMENTO DE PISO EM CONCRETO                               </t>
  </si>
  <si>
    <t>MISTURADOR LINHA ARGON BANHEIROS BICA BAIXA Cod. 00847769</t>
  </si>
  <si>
    <t xml:space="preserve">TRANSPORTES E FRETES -         ANDAIMES, ESCORAMENTOS,                              </t>
  </si>
  <si>
    <t xml:space="preserve">PONTALETE DE MADEIRA NAO APARELHADA *7,5 X 7,5* CM (3 X 3 ") PINUS, MISTA OU EQUIVALENTE DA REGIAO  </t>
  </si>
  <si>
    <t xml:space="preserve">TRATAMENTO DE CONCRETO                                                              </t>
  </si>
  <si>
    <t xml:space="preserve">PORCELANATO ROCA                                            </t>
  </si>
  <si>
    <t xml:space="preserve">ACABAMENTO DE REGISTRO LINHA ARGON CROMADO Cod. 00847944 </t>
  </si>
  <si>
    <t xml:space="preserve">TUBO PVC ESGOTO 100MM X 6      METROS                                               </t>
  </si>
  <si>
    <t xml:space="preserve">PORCELANATO YORK 90X90 CM                                   </t>
  </si>
  <si>
    <t>CHUVEIRO DOCOL QUADRADO SQUARE PAREDE</t>
  </si>
  <si>
    <t xml:space="preserve">UNIFORMES                                                                           </t>
  </si>
  <si>
    <t xml:space="preserve">PREGO DE ACO POLIDO COM CABECA 15 X 15 (1 1/4 X 13)  </t>
  </si>
  <si>
    <t>CHUVEIRO DE TETO DOCOL (SUITE MASTER)</t>
  </si>
  <si>
    <t xml:space="preserve">USINA FOTOVOLTAICA (TEMPLÁRIA)                                                      </t>
  </si>
  <si>
    <t xml:space="preserve">PREGO DE ACO POLIDO COM CABECA 18 X 27 (2 1/2 X 10)  </t>
  </si>
  <si>
    <t>CUBA LINHA QUADRATINO 500</t>
  </si>
  <si>
    <t xml:space="preserve">VERGA E CONTRAVERGA EM         CONCRETO ARMADO                                      </t>
  </si>
  <si>
    <t xml:space="preserve">PREGO DE ACO POLIDO COM CABECA 18 X 30 (2 3/4 X 10)  </t>
  </si>
  <si>
    <t>MISTURADOR DE COZINHA LINHA VITALIS Cod. 01579606</t>
  </si>
  <si>
    <t xml:space="preserve">VIBRADOR COM MANGOTE (1)                                                            </t>
  </si>
  <si>
    <t xml:space="preserve">PREGO DE ACO POLIDO COM CABECA DUPLA 17 X 27 (2 1/2 X 11)  </t>
  </si>
  <si>
    <t xml:space="preserve">VIGILÂNCIA                                                                          </t>
  </si>
  <si>
    <t xml:space="preserve">QUARTZITO TAJ MAHAL                                         </t>
  </si>
  <si>
    <t xml:space="preserve">ZENITAL METALICA, INCLUSIVE    VIDRO - FALTA PROPOSTA SHUCO                         </t>
  </si>
  <si>
    <t>TOALHEIRO TERMICO DOCOL COZY 127V</t>
  </si>
  <si>
    <t xml:space="preserve">REJUNTE EPOXI BRANCO  </t>
  </si>
  <si>
    <t>DIVERSOS</t>
  </si>
  <si>
    <t>PADRÃO DE ENERGIA / ÁGUA - PROVISÓRIO</t>
  </si>
  <si>
    <t>BOX EM VIDRO TEMPERADO PISO TETO PORTA DE GIRO PUXADOR ARQUITETO 80CM  1,35X2,90M</t>
  </si>
  <si>
    <t>ENCARREGADO</t>
  </si>
  <si>
    <t>BOX EM VIDRO TEMPERADO PISO TETO PORTA DE GIRO PUXADOR ARQUITETO 80CM  1,65X2,5</t>
  </si>
  <si>
    <t>PROJETOS</t>
  </si>
  <si>
    <t xml:space="preserve">REVESTIMENTO EM GRANITO BRANCO SIENA                        </t>
  </si>
  <si>
    <t>BOX EM VIDRO TEMPERADO PISO TETO PORTA DE GIRO PUXADOR ARQUITETO 80CM 1,75X2,80M</t>
  </si>
  <si>
    <t>MEDIDA COMPENSATÓRIA</t>
  </si>
  <si>
    <t xml:space="preserve">REVESTIMENTO EM LIMESTONE                                   </t>
  </si>
  <si>
    <t>BOX EM VIDRO TEMPERADO PISO TETO PORTA DE GIRO PUXADOR ARQUITETO 80CM 1,35X2,80M</t>
  </si>
  <si>
    <t>PASSEIO EXTERNO</t>
  </si>
  <si>
    <t xml:space="preserve">RODAPÉ EM PERFIL DE ALUMINIO                                </t>
  </si>
  <si>
    <t>BOX EM VIDRO TEMPERADO PISO TETO PORTA DE GIRO PUXADOR ARQUITETO 80CM 4,5X2,80M</t>
  </si>
  <si>
    <t>LICENÇAS E TAXAS GERAIS</t>
  </si>
  <si>
    <t xml:space="preserve">SARRAFO DE MADEIRA NAO APARELHADA *2,5 X 7,5* CM (1 X 3 ") PINUS, MISTA OU EQUIVALENTE DA REGIAO  </t>
  </si>
  <si>
    <t>ELETRODOMÉSTICOS, EQUIPAMENTOS DE ACADEMIA, PAINEIS DE MADEIRA, ESPELHOS, QUADRA DE BEACH TÊNIS (EXCLUSO)</t>
  </si>
  <si>
    <t>PROTEÇÃO DE TALUDES</t>
  </si>
  <si>
    <t xml:space="preserve">SEGURO DE OBRA                                              </t>
  </si>
  <si>
    <t>JARDINEIRAS E PAISAGISMO</t>
  </si>
  <si>
    <t>CAIXA DE OBRA</t>
  </si>
  <si>
    <t>PROJETOS E EXECUÇÃO DE PAISAGISMO</t>
  </si>
  <si>
    <t>TÉCNICO DE SEGURANÇA</t>
  </si>
  <si>
    <t xml:space="preserve">SELADOR ACRILICO PAREDES INTERNAS/EXTERNAS  </t>
  </si>
  <si>
    <t>PLANTIO DE GRAMA</t>
  </si>
  <si>
    <t>LAVADORA DE ALTA PRESSÃO</t>
  </si>
  <si>
    <t xml:space="preserve">SERRA CIRCULAR BANCADA                                      </t>
  </si>
  <si>
    <t>SISTEMA DE IRRIGAÇÃO (ESTIMADO)</t>
  </si>
  <si>
    <t>REFORÇO PARA BOCA DE LOBO</t>
  </si>
  <si>
    <t xml:space="preserve">SERVENTE DE APOIO                                           </t>
  </si>
  <si>
    <t xml:space="preserve">RESERVATÓRIO 20.000L PARA ÁGUA IRRIGAÇÃO </t>
  </si>
  <si>
    <t>PROTEÇÃO DE ÁRVORE PASSEIO</t>
  </si>
  <si>
    <t xml:space="preserve">SERVENTE DE OBRAS  </t>
  </si>
  <si>
    <t>EQUIPE DE APOIO</t>
  </si>
  <si>
    <t>QUEBRA CABEÇA DE ESTACA</t>
  </si>
  <si>
    <t xml:space="preserve">SERVIÇO DE BANCADA ESCULPIDA                                </t>
  </si>
  <si>
    <t xml:space="preserve">PEDREIRO DE APOIO </t>
  </si>
  <si>
    <t>APILOAMENTO FUNDO DE VALA</t>
  </si>
  <si>
    <t xml:space="preserve">SERVIÇO DE BOMBEAMENTO DE CONCRETO                          </t>
  </si>
  <si>
    <t>PEDREIRO MEI</t>
  </si>
  <si>
    <t xml:space="preserve">SERVIÇO DE CORTE,MEDIÇÃO E PROJETO DE BANCADA               </t>
  </si>
  <si>
    <t>SERVENTE DE APOIO</t>
  </si>
  <si>
    <t xml:space="preserve">SERVIÇO DE INSTALAÇÃO DE EQUIPAMENTOS DE AR COND.           </t>
  </si>
  <si>
    <t>CARPINTEIRO DE APOIO</t>
  </si>
  <si>
    <t xml:space="preserve">SERVIÇO DE INSTALAÇÃO ILUMINAÇÃO                            </t>
  </si>
  <si>
    <t>ARMADOR DE APOIO</t>
  </si>
  <si>
    <t xml:space="preserve">SERVIÇO DE POLIMENTO MARMORE                                </t>
  </si>
  <si>
    <t>OPERADOR DE GUINCHO</t>
  </si>
  <si>
    <t xml:space="preserve">SERVIÇO DE PROTEÇÃO MECÂNICA                                </t>
  </si>
  <si>
    <t>LIMPEZAS</t>
  </si>
  <si>
    <t xml:space="preserve">SERVIÇOS ACOMPANHAMENTO PROTENSÃO                           </t>
  </si>
  <si>
    <t>LIMPEZA FINAL PARA ENTREGA DA OBRA</t>
  </si>
  <si>
    <t>CUSTO INDIRETO</t>
  </si>
  <si>
    <t>PESSOAL ADMINISTRATIVO DA OBRA</t>
  </si>
  <si>
    <t>ENGENHEIRO - ENGENHEIRO DE PRODUÇÃO</t>
  </si>
  <si>
    <t xml:space="preserve">SISTEMA DE AUTOMAÇÃO                                        </t>
  </si>
  <si>
    <t>MESTRE DE OBRAS</t>
  </si>
  <si>
    <t xml:space="preserve">SISTEMA DE IRRIGAÇÃO - ESTIMADO  </t>
  </si>
  <si>
    <t>ALMOXARIFE</t>
  </si>
  <si>
    <t xml:space="preserve">TABUA DE MADEIRA APARELHADA *2,5 X 15* CM, MACARANDUBA, ANGELIM OU EQUIVALENTE DA REGIAO  </t>
  </si>
  <si>
    <t>ESTAGIÁRIO DE OBRAS</t>
  </si>
  <si>
    <t xml:space="preserve">TABUA DE MADEIRA APARELHADA *2,5 X 30* CM, MACARANDUBA, ANGELIM OU EQUIVALENTE DA REGIAO  </t>
  </si>
  <si>
    <t>DESPESAS COM PESSOAL (10 FUNCIONÁRIOS)</t>
  </si>
  <si>
    <t xml:space="preserve">TABUA DE MADEIRA NAO APARELHADA *2,5 X 20* CM, CEDRINHO OU EQUIVALENTE DA REGIAO  </t>
  </si>
  <si>
    <t>CAFÉ DA MANHÃ</t>
  </si>
  <si>
    <t xml:space="preserve">TABUA DE MADEIRA NAO APARELHADA *2,5 X 30* CM, CEDRINHO OU EQUIVALENTE DA REGIAO  </t>
  </si>
  <si>
    <t>SEGURO DE VIDA</t>
  </si>
  <si>
    <t xml:space="preserve">TAXAS PREFEITURAS HABITE-SE                                 </t>
  </si>
  <si>
    <t>SEGURANÇA DO TRABALHO</t>
  </si>
  <si>
    <t xml:space="preserve">TELA DE ACO SOLDADA GALVANIZADA/ZINCADA PARA ALVENARIA, FIO  D = *1,20 A 1,70* MM, MALHA 15 X 15 MM, (C X L) *50 X 12* CM  </t>
  </si>
  <si>
    <t>MEDICAMENTO PRIMEIROS SOCORROS</t>
  </si>
  <si>
    <t xml:space="preserve">TELA DE ACO SOLDADA NERVURADA, CA-60, Q-196, (3,11 KG/M2), DIAMETRO DO FIO = 5,0 MM, LARGURA = 2,45 M, ESPACAMENTO DA MALHA = 10 X 10 CM  </t>
  </si>
  <si>
    <t>UNIFORMES</t>
  </si>
  <si>
    <t xml:space="preserve">TELA GALVANIZADA AMARAAÇÃO DE ALVENARIA (TELA BELGOFIX)     </t>
  </si>
  <si>
    <t>EQUIPAMENTO DE PROTEÇÃO INDIVIDUAL (EPI)</t>
  </si>
  <si>
    <t xml:space="preserve">TELA NERVURADA Q192                                         </t>
  </si>
  <si>
    <t>EQUIPAMENTOS  E FERRAMENTAS</t>
  </si>
  <si>
    <t xml:space="preserve">TELA NERVURADA Q283                                         </t>
  </si>
  <si>
    <t>LOCACAO DE BOB-CAT  / RETROESCAVADEIRA</t>
  </si>
  <si>
    <t xml:space="preserve">TELA NERVURADA Q503                                         </t>
  </si>
  <si>
    <t>ARGAMASSADEIRA - LOCAÇÃO</t>
  </si>
  <si>
    <t xml:space="preserve">TELA NERVURADA Q583                                         </t>
  </si>
  <si>
    <t>VIBRADOR COM MANGOTE (1)</t>
  </si>
  <si>
    <t xml:space="preserve">TELA SOLDADA NERVURADA Q196                                 </t>
  </si>
  <si>
    <t>SERRA CIRCULAR MANUAL (1)</t>
  </si>
  <si>
    <t xml:space="preserve">TELHA DE FIBROCIMENTO ONDULADA E = 6 MM, DE 2,44 X 1,10 M (SEM AMIANTO)  </t>
  </si>
  <si>
    <t>SERRA MARMORE (2)</t>
  </si>
  <si>
    <t xml:space="preserve">TEXTURA EXTERNA A DEFINIR MAT + MAO DE OBRA                 </t>
  </si>
  <si>
    <t>MARTELETE 05 KG (1)</t>
  </si>
  <si>
    <t xml:space="preserve">TIJOLO CERÂMICO FURADO DE VEDAÇÃO 19X19X29 CM               </t>
  </si>
  <si>
    <t>MARTELETE 10 KG (1)</t>
  </si>
  <si>
    <t xml:space="preserve">TINTA ACRILICA PREMIUM PARA PISO  </t>
  </si>
  <si>
    <t>FURADEIRA (1)</t>
  </si>
  <si>
    <t xml:space="preserve">TINTA ACRILICA PREMIUM, COR BRANCO FOSCO  </t>
  </si>
  <si>
    <t>ESMERILHADEIRA (1)</t>
  </si>
  <si>
    <t xml:space="preserve">TINTA EPOXI PREMIUM, BRANCA  </t>
  </si>
  <si>
    <t>POLICORTE</t>
  </si>
  <si>
    <t>CARRINHO DE MÃO</t>
  </si>
  <si>
    <t>PEQUENAS FERRAMENTAS</t>
  </si>
  <si>
    <t>MANUTENÇÃO DE EQUIPAMENTOS E FERRAMENTAS</t>
  </si>
  <si>
    <t xml:space="preserve">TRANSPORTE DE MATERIAL DE QUALQUER NATUREZA                 </t>
  </si>
  <si>
    <t>COMPACTADOR CM20 TIPO SAPO MECÂNICO</t>
  </si>
  <si>
    <t xml:space="preserve">TRANSPORTES E FRETES                                        </t>
  </si>
  <si>
    <t>MONTAGEM E DESMONTAGEM DE ANDAIME FACHADEIRO</t>
  </si>
  <si>
    <t xml:space="preserve">TRATAMENTO DE LAJE EM CONCRETO                              </t>
  </si>
  <si>
    <t>LOCAÇÃO DE ANDAIME FACHADEIRO (7 MESES)</t>
  </si>
  <si>
    <t xml:space="preserve">TRAVA-QUEDAS EM ACO PARA CORDA DE 12 MM, EXTENSOR DE 25 X 300 MM, COM MOSQUETAO TIPO GANCHO TRAVA DUPLA  </t>
  </si>
  <si>
    <t>LOCACAO DE ANDAIME TUBULAR / PLATAFORMA</t>
  </si>
  <si>
    <t xml:space="preserve">UNIFORMES                                                   </t>
  </si>
  <si>
    <t>CÓPIAS E PLOTAGEM</t>
  </si>
  <si>
    <t xml:space="preserve">VERGALHÃO AÇO CA 50/60                                      </t>
  </si>
  <si>
    <t>MATERIAL DE HIGIENE E LIMPEZA</t>
  </si>
  <si>
    <t xml:space="preserve">VIBRADOR COM MANGOTE                                        </t>
  </si>
  <si>
    <t>VIGILÂNCIA</t>
  </si>
  <si>
    <t xml:space="preserve">VIGA DE MADEIRA NAO APARELHADA *6 X 16* CM, MACARANDUBA, ANGELIM OU EQUIVALENTE DA REGIAO  </t>
  </si>
  <si>
    <t>TRANSPORTES</t>
  </si>
  <si>
    <t>TRANSPORTES E FRETES - ANDAIMES, ESCORAMENTOS, CANTEIRO DE OBRAS</t>
  </si>
  <si>
    <t>FRETES ACABABAMENTOS</t>
  </si>
  <si>
    <t>PORTÃO DE OBRA</t>
  </si>
  <si>
    <t>LOCAÇÃO DE CAÇAMBAS</t>
  </si>
  <si>
    <t>BANHEIRO QUÍMICO</t>
  </si>
  <si>
    <t>MATERIAIS GERAIS</t>
  </si>
  <si>
    <t>ENCARREGADO DE OBRA</t>
  </si>
  <si>
    <t>PINTOR</t>
  </si>
  <si>
    <t>PROJETO SUPRESSÃO VEGETAL</t>
  </si>
  <si>
    <t>MUDAS PARA MEDIDA COMPENSATÓRIA</t>
  </si>
  <si>
    <t xml:space="preserve">TAXAS TERRAPLENAGEM             </t>
  </si>
  <si>
    <t xml:space="preserve">TUBO PVC SOLDÁVEL 20MM X 6      METROS                                               </t>
  </si>
  <si>
    <t>Março</t>
  </si>
  <si>
    <t>RWM</t>
  </si>
  <si>
    <t>RIBBE</t>
  </si>
  <si>
    <t>J&amp;C</t>
  </si>
  <si>
    <t>Poceiro</t>
  </si>
  <si>
    <t>Ajudante</t>
  </si>
  <si>
    <t>Pintura</t>
  </si>
  <si>
    <t>Pintor</t>
  </si>
  <si>
    <t>Abril</t>
  </si>
  <si>
    <t xml:space="preserve">EU SOU </t>
  </si>
  <si>
    <t>Obra_APL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</si>
</sst>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rgb="FF000000"/>
      <name val="Aptos Narrow"/>
      <family val="2"/>
    </font>
    <font>
      <sz val="14"/>
      <color rgb="FF000000"/>
      <name val="Aptos Narrow"/>
      <family val="2"/>
    </font>
    <font>
      <b/>
      <sz val="14"/>
      <name val="Aptos Narrow"/>
      <family val="2"/>
    </font>
    <font>
      <b/>
      <sz val="14"/>
      <color rgb="FF074F69"/>
      <name val="Aptos Narrow"/>
      <family val="2"/>
    </font>
    <font>
      <b/>
      <sz val="14"/>
      <color rgb="FF104861"/>
      <name val="Aptos Narrow"/>
      <family val="2"/>
    </font>
    <font>
      <b/>
      <sz val="14"/>
      <color rgb="FF153D64"/>
      <name val="Aptos Narrow"/>
      <family val="2"/>
    </font>
    <font>
      <b/>
      <sz val="14"/>
      <color rgb="FFC00000"/>
      <name val="Aptos Narrow"/>
      <family val="2"/>
    </font>
    <font>
      <b/>
      <sz val="14"/>
      <color rgb="FFFFFFFF"/>
      <name val="Aptos Narrow"/>
      <family val="2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392F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000000"/>
      </patternFill>
    </fill>
    <fill>
      <patternFill patternType="solid">
        <fgColor rgb="FF264632"/>
        <bgColor rgb="FF264632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thin">
        <color rgb="FF44B3E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0">
    <xf numFmtId="0" fontId="0" fillId="0" borderId="0" xfId="0"/>
    <xf numFmtId="0" fontId="3" fillId="2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right" vertical="center"/>
    </xf>
    <xf numFmtId="0" fontId="3" fillId="2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2" borderId="24" xfId="1" applyNumberFormat="1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vertical="center" wrapText="1"/>
    </xf>
    <xf numFmtId="0" fontId="7" fillId="4" borderId="25" xfId="0" applyFont="1" applyFill="1" applyBorder="1" applyAlignment="1">
      <alignment vertical="center"/>
    </xf>
    <xf numFmtId="0" fontId="7" fillId="4" borderId="25" xfId="0" applyFont="1" applyFill="1" applyBorder="1" applyAlignment="1">
      <alignment vertical="center" wrapText="1"/>
    </xf>
    <xf numFmtId="0" fontId="8" fillId="3" borderId="25" xfId="0" applyFont="1" applyFill="1" applyBorder="1" applyAlignment="1">
      <alignment vertical="center" wrapText="1"/>
    </xf>
    <xf numFmtId="0" fontId="7" fillId="5" borderId="25" xfId="0" applyFont="1" applyFill="1" applyBorder="1" applyAlignment="1">
      <alignment vertical="center" wrapText="1"/>
    </xf>
    <xf numFmtId="0" fontId="12" fillId="4" borderId="25" xfId="0" applyFont="1" applyFill="1" applyBorder="1" applyAlignment="1">
      <alignment vertical="center"/>
    </xf>
    <xf numFmtId="0" fontId="7" fillId="4" borderId="26" xfId="0" applyFont="1" applyFill="1" applyBorder="1" applyAlignment="1">
      <alignment vertical="center" wrapText="1"/>
    </xf>
    <xf numFmtId="0" fontId="12" fillId="4" borderId="25" xfId="0" applyFont="1" applyFill="1" applyBorder="1" applyAlignment="1">
      <alignment vertical="center" wrapText="1"/>
    </xf>
    <xf numFmtId="0" fontId="13" fillId="6" borderId="25" xfId="0" applyFont="1" applyFill="1" applyBorder="1" applyAlignment="1">
      <alignment vertical="center"/>
    </xf>
    <xf numFmtId="0" fontId="7" fillId="4" borderId="26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5" xfId="1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vertical="top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7" borderId="2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2" borderId="39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0" fillId="7" borderId="42" xfId="0" applyFill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2" borderId="44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7" borderId="45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vertical="center"/>
    </xf>
    <xf numFmtId="0" fontId="0" fillId="2" borderId="47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0" fontId="0" fillId="0" borderId="48" xfId="0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50" xfId="0" applyBorder="1" applyAlignment="1">
      <alignment vertical="center"/>
    </xf>
    <xf numFmtId="0" fontId="0" fillId="2" borderId="51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5" fillId="2" borderId="1" xfId="0" applyFont="1" applyFill="1" applyBorder="1" applyAlignment="1">
      <alignment vertical="top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0" borderId="37" xfId="0" quotePrefix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0039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659F-192E-488D-9465-FA43F3A44BFC}">
  <sheetPr>
    <tabColor rgb="FF00392F"/>
  </sheetPr>
  <dimension ref="A1:AJ52"/>
  <sheetViews>
    <sheetView showGridLines="0" zoomScale="85" zoomScaleNormal="85" workbookViewId="0">
      <pane ySplit="4" topLeftCell="A5" activePane="bottomLeft" state="frozen"/>
      <selection pane="bottomLeft" activeCell="A2" sqref="A2"/>
    </sheetView>
  </sheetViews>
  <sheetFormatPr defaultRowHeight="15"/>
  <cols>
    <col min="1" max="1" width="28.7109375" style="2" bestFit="1" customWidth="1"/>
    <col min="2" max="33" width="3.7109375" style="2" customWidth="1"/>
    <col min="34" max="34" width="27.140625" style="2" bestFit="1" customWidth="1"/>
    <col min="35" max="35" width="9.140625" style="5"/>
    <col min="36" max="36" width="11.42578125" style="5" customWidth="1"/>
    <col min="37" max="16384" width="9.140625" style="2"/>
  </cols>
  <sheetData>
    <row r="1" spans="1:36" ht="23.25" customHeight="1">
      <c r="A1" s="36" t="s">
        <v>0</v>
      </c>
      <c r="B1" s="113" t="s">
        <v>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"/>
      <c r="AI1" s="7"/>
    </row>
    <row r="2" spans="1:36" ht="15.75" customHeight="1">
      <c r="A2" s="35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3" t="s">
        <v>2</v>
      </c>
      <c r="AI2" s="8" t="s">
        <v>3</v>
      </c>
    </row>
    <row r="3" spans="1:36">
      <c r="A3" s="38" t="s">
        <v>4</v>
      </c>
      <c r="B3" s="4">
        <v>1</v>
      </c>
      <c r="C3" s="4">
        <f>B3+1</f>
        <v>2</v>
      </c>
      <c r="D3" s="4">
        <f t="shared" ref="D3:V3" si="0">C3+1</f>
        <v>3</v>
      </c>
      <c r="E3" s="4">
        <f t="shared" si="0"/>
        <v>4</v>
      </c>
      <c r="F3" s="4">
        <f t="shared" si="0"/>
        <v>5</v>
      </c>
      <c r="G3" s="4">
        <f t="shared" si="0"/>
        <v>6</v>
      </c>
      <c r="H3" s="4">
        <f t="shared" si="0"/>
        <v>7</v>
      </c>
      <c r="I3" s="4">
        <f t="shared" si="0"/>
        <v>8</v>
      </c>
      <c r="J3" s="4">
        <f t="shared" si="0"/>
        <v>9</v>
      </c>
      <c r="K3" s="4">
        <f t="shared" si="0"/>
        <v>10</v>
      </c>
      <c r="L3" s="4">
        <f t="shared" si="0"/>
        <v>11</v>
      </c>
      <c r="M3" s="4">
        <f>L3+1</f>
        <v>12</v>
      </c>
      <c r="N3" s="4">
        <f t="shared" si="0"/>
        <v>13</v>
      </c>
      <c r="O3" s="4">
        <f t="shared" si="0"/>
        <v>14</v>
      </c>
      <c r="P3" s="4">
        <f t="shared" si="0"/>
        <v>15</v>
      </c>
      <c r="Q3" s="4">
        <f t="shared" si="0"/>
        <v>16</v>
      </c>
      <c r="R3" s="4">
        <f t="shared" si="0"/>
        <v>17</v>
      </c>
      <c r="S3" s="4">
        <f t="shared" si="0"/>
        <v>18</v>
      </c>
      <c r="T3" s="4">
        <f t="shared" si="0"/>
        <v>19</v>
      </c>
      <c r="U3" s="4">
        <f t="shared" si="0"/>
        <v>20</v>
      </c>
      <c r="V3" s="4">
        <f t="shared" si="0"/>
        <v>21</v>
      </c>
      <c r="W3" s="4">
        <f>V3+1</f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/>
      <c r="AH3" s="33" t="s">
        <v>5</v>
      </c>
      <c r="AI3" s="37">
        <f>SUM(AI7:AI13,AI16:AI20,AI23:AI27,AI30:AI33,AI36:AI37,AI40,AI43,AI46:AI47,AI50:AI52)</f>
        <v>708</v>
      </c>
    </row>
    <row r="4" spans="1:36">
      <c r="A4" s="39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41"/>
      <c r="AI4" s="40"/>
    </row>
    <row r="5" spans="1:36" ht="10.5" customHeight="1"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7"/>
    </row>
    <row r="6" spans="1:36">
      <c r="A6" s="107" t="s">
        <v>6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11"/>
      <c r="AI6" s="118"/>
    </row>
    <row r="7" spans="1:36" ht="15" customHeight="1">
      <c r="A7" s="20" t="s">
        <v>7</v>
      </c>
      <c r="B7" s="19" t="s">
        <v>8</v>
      </c>
      <c r="C7" s="19" t="s">
        <v>8</v>
      </c>
      <c r="D7" s="19" t="s">
        <v>8</v>
      </c>
      <c r="E7" s="19" t="s">
        <v>8</v>
      </c>
      <c r="F7" s="42">
        <v>2</v>
      </c>
      <c r="G7" s="42">
        <v>2</v>
      </c>
      <c r="H7" s="42">
        <v>2</v>
      </c>
      <c r="I7" s="42">
        <v>2</v>
      </c>
      <c r="J7" s="42">
        <v>2</v>
      </c>
      <c r="K7" s="19" t="s">
        <v>8</v>
      </c>
      <c r="L7" s="19" t="s">
        <v>8</v>
      </c>
      <c r="M7" s="42">
        <v>2</v>
      </c>
      <c r="N7" s="42">
        <v>2</v>
      </c>
      <c r="O7" s="42">
        <v>2</v>
      </c>
      <c r="P7" s="42">
        <v>2</v>
      </c>
      <c r="Q7" s="42">
        <v>2</v>
      </c>
      <c r="R7" s="19" t="s">
        <v>8</v>
      </c>
      <c r="S7" s="19" t="s">
        <v>8</v>
      </c>
      <c r="T7" s="42">
        <v>2</v>
      </c>
      <c r="U7" s="42">
        <v>2</v>
      </c>
      <c r="V7" s="42">
        <v>2</v>
      </c>
      <c r="W7" s="42">
        <v>2</v>
      </c>
      <c r="X7" s="42">
        <v>2</v>
      </c>
      <c r="Y7" s="19" t="s">
        <v>8</v>
      </c>
      <c r="Z7" s="19" t="s">
        <v>8</v>
      </c>
      <c r="AA7" s="42">
        <v>2</v>
      </c>
      <c r="AB7" s="42">
        <v>2</v>
      </c>
      <c r="AC7" s="42">
        <v>2</v>
      </c>
      <c r="AD7" s="42">
        <v>2</v>
      </c>
      <c r="AE7" s="42">
        <v>2</v>
      </c>
      <c r="AF7" s="96" t="s">
        <v>8</v>
      </c>
      <c r="AG7" s="5"/>
      <c r="AH7" s="12" t="str">
        <f t="shared" ref="AH7:AH13" si="1">A7</f>
        <v>Servente</v>
      </c>
      <c r="AI7" s="54">
        <f>SUM(B7:AF7)</f>
        <v>40</v>
      </c>
      <c r="AJ7" s="5">
        <f t="shared" ref="AJ7:AJ33" si="2">AI7-SUM(F7:V7)</f>
        <v>14</v>
      </c>
    </row>
    <row r="8" spans="1:36">
      <c r="A8" s="21" t="s">
        <v>9</v>
      </c>
      <c r="B8" s="10" t="s">
        <v>8</v>
      </c>
      <c r="C8" s="10" t="s">
        <v>8</v>
      </c>
      <c r="D8" s="10" t="s">
        <v>8</v>
      </c>
      <c r="E8" s="10" t="s">
        <v>8</v>
      </c>
      <c r="F8" s="43">
        <v>2</v>
      </c>
      <c r="G8" s="43">
        <v>2</v>
      </c>
      <c r="H8" s="43">
        <v>2</v>
      </c>
      <c r="I8" s="43">
        <v>2</v>
      </c>
      <c r="J8" s="43">
        <v>2</v>
      </c>
      <c r="K8" s="10" t="s">
        <v>8</v>
      </c>
      <c r="L8" s="10" t="s">
        <v>8</v>
      </c>
      <c r="M8" s="43">
        <v>2</v>
      </c>
      <c r="N8" s="43">
        <v>2</v>
      </c>
      <c r="O8" s="43">
        <v>2</v>
      </c>
      <c r="P8" s="43">
        <v>1.5</v>
      </c>
      <c r="Q8" s="43">
        <v>2</v>
      </c>
      <c r="R8" s="10" t="s">
        <v>8</v>
      </c>
      <c r="S8" s="10" t="s">
        <v>8</v>
      </c>
      <c r="T8" s="43">
        <v>2</v>
      </c>
      <c r="U8" s="43">
        <v>2</v>
      </c>
      <c r="V8" s="43">
        <v>2</v>
      </c>
      <c r="W8" s="43">
        <v>2</v>
      </c>
      <c r="X8" s="43">
        <v>2</v>
      </c>
      <c r="Y8" s="10" t="s">
        <v>8</v>
      </c>
      <c r="Z8" s="10" t="s">
        <v>8</v>
      </c>
      <c r="AA8" s="43">
        <v>2</v>
      </c>
      <c r="AB8" s="43">
        <v>1</v>
      </c>
      <c r="AC8" s="43">
        <v>1</v>
      </c>
      <c r="AD8" s="43">
        <v>1</v>
      </c>
      <c r="AE8" s="43">
        <v>1</v>
      </c>
      <c r="AF8" s="97" t="s">
        <v>8</v>
      </c>
      <c r="AG8" s="5"/>
      <c r="AH8" s="13" t="str">
        <f t="shared" si="1"/>
        <v>Meio Oficial</v>
      </c>
      <c r="AI8" s="51">
        <f>SUM(B8:AF8)</f>
        <v>35.5</v>
      </c>
      <c r="AJ8" s="5">
        <f t="shared" si="2"/>
        <v>10</v>
      </c>
    </row>
    <row r="9" spans="1:36">
      <c r="A9" s="21" t="s">
        <v>10</v>
      </c>
      <c r="B9" s="10" t="s">
        <v>8</v>
      </c>
      <c r="C9" s="10" t="s">
        <v>8</v>
      </c>
      <c r="D9" s="10" t="s">
        <v>8</v>
      </c>
      <c r="E9" s="10" t="s">
        <v>8</v>
      </c>
      <c r="F9" s="43">
        <v>1</v>
      </c>
      <c r="G9" s="43">
        <v>1</v>
      </c>
      <c r="H9" s="43">
        <v>1</v>
      </c>
      <c r="I9" s="43">
        <v>1</v>
      </c>
      <c r="J9" s="43">
        <v>1</v>
      </c>
      <c r="K9" s="10" t="s">
        <v>8</v>
      </c>
      <c r="L9" s="10" t="s">
        <v>8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10" t="s">
        <v>8</v>
      </c>
      <c r="S9" s="10" t="s">
        <v>8</v>
      </c>
      <c r="T9" s="43">
        <v>1</v>
      </c>
      <c r="U9" s="43">
        <v>1</v>
      </c>
      <c r="V9" s="43">
        <v>1</v>
      </c>
      <c r="W9" s="43" t="s">
        <v>8</v>
      </c>
      <c r="X9" s="43">
        <v>1</v>
      </c>
      <c r="Y9" s="10" t="s">
        <v>8</v>
      </c>
      <c r="Z9" s="10" t="s">
        <v>8</v>
      </c>
      <c r="AA9" s="43">
        <v>1</v>
      </c>
      <c r="AB9" s="43">
        <v>1</v>
      </c>
      <c r="AC9" s="43" t="s">
        <v>8</v>
      </c>
      <c r="AD9" s="43">
        <v>1</v>
      </c>
      <c r="AE9" s="43">
        <v>1</v>
      </c>
      <c r="AF9" s="97" t="s">
        <v>8</v>
      </c>
      <c r="AG9" s="5"/>
      <c r="AH9" s="13" t="str">
        <f t="shared" si="1"/>
        <v>Pedreiro</v>
      </c>
      <c r="AI9" s="51">
        <f>SUM(B9:AF9)</f>
        <v>18</v>
      </c>
      <c r="AJ9" s="5">
        <f t="shared" si="2"/>
        <v>5</v>
      </c>
    </row>
    <row r="10" spans="1:36">
      <c r="A10" s="21" t="s">
        <v>11</v>
      </c>
      <c r="B10" s="10" t="s">
        <v>8</v>
      </c>
      <c r="C10" s="10" t="s">
        <v>8</v>
      </c>
      <c r="D10" s="10" t="s">
        <v>8</v>
      </c>
      <c r="E10" s="10" t="s">
        <v>8</v>
      </c>
      <c r="F10" s="43" t="s">
        <v>8</v>
      </c>
      <c r="G10" s="43" t="s">
        <v>8</v>
      </c>
      <c r="H10" s="43" t="s">
        <v>8</v>
      </c>
      <c r="I10" s="43" t="s">
        <v>8</v>
      </c>
      <c r="J10" s="43" t="s">
        <v>8</v>
      </c>
      <c r="K10" s="10" t="s">
        <v>8</v>
      </c>
      <c r="L10" s="10" t="s">
        <v>8</v>
      </c>
      <c r="M10" s="43" t="s">
        <v>8</v>
      </c>
      <c r="N10" s="43" t="s">
        <v>8</v>
      </c>
      <c r="O10" s="43" t="s">
        <v>8</v>
      </c>
      <c r="P10" s="43" t="s">
        <v>8</v>
      </c>
      <c r="Q10" s="43" t="s">
        <v>8</v>
      </c>
      <c r="R10" s="10" t="s">
        <v>8</v>
      </c>
      <c r="S10" s="10" t="s">
        <v>8</v>
      </c>
      <c r="T10" s="43" t="s">
        <v>8</v>
      </c>
      <c r="U10" s="43" t="s">
        <v>8</v>
      </c>
      <c r="V10" s="43"/>
      <c r="W10" s="43" t="s">
        <v>8</v>
      </c>
      <c r="X10" s="43" t="s">
        <v>8</v>
      </c>
      <c r="Y10" s="10" t="s">
        <v>8</v>
      </c>
      <c r="Z10" s="10" t="s">
        <v>8</v>
      </c>
      <c r="AA10" s="43" t="s">
        <v>8</v>
      </c>
      <c r="AB10" s="43" t="s">
        <v>8</v>
      </c>
      <c r="AC10" s="43" t="s">
        <v>8</v>
      </c>
      <c r="AD10" s="43" t="s">
        <v>8</v>
      </c>
      <c r="AE10" s="43" t="s">
        <v>8</v>
      </c>
      <c r="AF10" s="97" t="s">
        <v>8</v>
      </c>
      <c r="AG10" s="5"/>
      <c r="AH10" s="13" t="str">
        <f t="shared" si="1"/>
        <v>Betorneiro</v>
      </c>
      <c r="AI10" s="51">
        <f>SUM(B10:AF10)</f>
        <v>0</v>
      </c>
    </row>
    <row r="11" spans="1:36">
      <c r="A11" s="21" t="s">
        <v>12</v>
      </c>
      <c r="B11" s="10" t="s">
        <v>8</v>
      </c>
      <c r="C11" s="10" t="s">
        <v>8</v>
      </c>
      <c r="D11" s="10" t="s">
        <v>8</v>
      </c>
      <c r="E11" s="10" t="s">
        <v>8</v>
      </c>
      <c r="F11" s="43" t="s">
        <v>8</v>
      </c>
      <c r="G11" s="43" t="s">
        <v>8</v>
      </c>
      <c r="H11" s="43" t="s">
        <v>8</v>
      </c>
      <c r="I11" s="43" t="s">
        <v>8</v>
      </c>
      <c r="J11" s="43" t="s">
        <v>8</v>
      </c>
      <c r="K11" s="10" t="s">
        <v>8</v>
      </c>
      <c r="L11" s="10" t="s">
        <v>8</v>
      </c>
      <c r="M11" s="43" t="s">
        <v>8</v>
      </c>
      <c r="N11" s="43" t="s">
        <v>8</v>
      </c>
      <c r="O11" s="43" t="s">
        <v>8</v>
      </c>
      <c r="P11" s="43" t="s">
        <v>8</v>
      </c>
      <c r="Q11" s="43" t="s">
        <v>8</v>
      </c>
      <c r="R11" s="10" t="s">
        <v>8</v>
      </c>
      <c r="S11" s="10" t="s">
        <v>8</v>
      </c>
      <c r="T11" s="43" t="s">
        <v>8</v>
      </c>
      <c r="U11" s="43" t="s">
        <v>8</v>
      </c>
      <c r="V11" s="43"/>
      <c r="W11" s="43" t="s">
        <v>8</v>
      </c>
      <c r="X11" s="43" t="s">
        <v>8</v>
      </c>
      <c r="Y11" s="10" t="s">
        <v>8</v>
      </c>
      <c r="Z11" s="10" t="s">
        <v>8</v>
      </c>
      <c r="AA11" s="43" t="s">
        <v>8</v>
      </c>
      <c r="AB11" s="43" t="s">
        <v>8</v>
      </c>
      <c r="AC11" s="43" t="s">
        <v>8</v>
      </c>
      <c r="AD11" s="43" t="s">
        <v>8</v>
      </c>
      <c r="AE11" s="43" t="s">
        <v>8</v>
      </c>
      <c r="AF11" s="97" t="s">
        <v>8</v>
      </c>
      <c r="AG11" s="5"/>
      <c r="AH11" s="13" t="str">
        <f t="shared" si="1"/>
        <v>Guincheiro</v>
      </c>
      <c r="AI11" s="51">
        <f t="shared" ref="AI11:AI13" si="3">SUM(B11:AF11)</f>
        <v>0</v>
      </c>
    </row>
    <row r="12" spans="1:36">
      <c r="A12" s="21" t="s">
        <v>13</v>
      </c>
      <c r="B12" s="10" t="s">
        <v>8</v>
      </c>
      <c r="C12" s="10" t="s">
        <v>8</v>
      </c>
      <c r="D12" s="10" t="s">
        <v>8</v>
      </c>
      <c r="E12" s="10" t="s">
        <v>8</v>
      </c>
      <c r="F12" s="43" t="s">
        <v>8</v>
      </c>
      <c r="G12" s="43" t="s">
        <v>8</v>
      </c>
      <c r="H12" s="43" t="s">
        <v>8</v>
      </c>
      <c r="I12" s="43" t="s">
        <v>8</v>
      </c>
      <c r="J12" s="43" t="s">
        <v>8</v>
      </c>
      <c r="K12" s="10" t="s">
        <v>8</v>
      </c>
      <c r="L12" s="10" t="s">
        <v>8</v>
      </c>
      <c r="M12" s="43" t="s">
        <v>8</v>
      </c>
      <c r="N12" s="43" t="s">
        <v>8</v>
      </c>
      <c r="O12" s="43" t="s">
        <v>8</v>
      </c>
      <c r="P12" s="43" t="s">
        <v>8</v>
      </c>
      <c r="Q12" s="43" t="s">
        <v>8</v>
      </c>
      <c r="R12" s="10" t="s">
        <v>8</v>
      </c>
      <c r="S12" s="10" t="s">
        <v>8</v>
      </c>
      <c r="T12" s="43" t="s">
        <v>8</v>
      </c>
      <c r="U12" s="43" t="s">
        <v>8</v>
      </c>
      <c r="V12" s="43"/>
      <c r="W12" s="43" t="s">
        <v>8</v>
      </c>
      <c r="X12" s="43" t="s">
        <v>8</v>
      </c>
      <c r="Y12" s="10" t="s">
        <v>8</v>
      </c>
      <c r="Z12" s="10" t="s">
        <v>8</v>
      </c>
      <c r="AA12" s="43" t="s">
        <v>8</v>
      </c>
      <c r="AB12" s="43" t="s">
        <v>8</v>
      </c>
      <c r="AC12" s="43" t="s">
        <v>8</v>
      </c>
      <c r="AD12" s="43" t="s">
        <v>8</v>
      </c>
      <c r="AE12" s="43" t="s">
        <v>8</v>
      </c>
      <c r="AF12" s="97" t="s">
        <v>8</v>
      </c>
      <c r="AG12" s="5"/>
      <c r="AH12" s="13" t="str">
        <f t="shared" si="1"/>
        <v>Operador de Argamassadeira</v>
      </c>
      <c r="AI12" s="51">
        <f t="shared" si="3"/>
        <v>0</v>
      </c>
    </row>
    <row r="13" spans="1:36">
      <c r="A13" s="11" t="s">
        <v>14</v>
      </c>
      <c r="B13" s="15" t="s">
        <v>8</v>
      </c>
      <c r="C13" s="15" t="s">
        <v>8</v>
      </c>
      <c r="D13" s="15" t="s">
        <v>8</v>
      </c>
      <c r="E13" s="15" t="s">
        <v>8</v>
      </c>
      <c r="F13" s="9" t="s">
        <v>8</v>
      </c>
      <c r="G13" s="9" t="s">
        <v>8</v>
      </c>
      <c r="H13" s="9" t="s">
        <v>8</v>
      </c>
      <c r="I13" s="9" t="s">
        <v>8</v>
      </c>
      <c r="J13" s="9" t="s">
        <v>8</v>
      </c>
      <c r="K13" s="15" t="s">
        <v>8</v>
      </c>
      <c r="L13" s="15" t="s">
        <v>8</v>
      </c>
      <c r="M13" s="9" t="s">
        <v>8</v>
      </c>
      <c r="N13" s="9" t="s">
        <v>8</v>
      </c>
      <c r="O13" s="9" t="s">
        <v>8</v>
      </c>
      <c r="P13" s="9" t="s">
        <v>8</v>
      </c>
      <c r="Q13" s="9" t="s">
        <v>8</v>
      </c>
      <c r="R13" s="15" t="s">
        <v>8</v>
      </c>
      <c r="S13" s="15" t="s">
        <v>8</v>
      </c>
      <c r="T13" s="9" t="s">
        <v>8</v>
      </c>
      <c r="U13" s="9" t="s">
        <v>8</v>
      </c>
      <c r="V13" s="44"/>
      <c r="W13" s="9" t="s">
        <v>8</v>
      </c>
      <c r="X13" s="44" t="s">
        <v>8</v>
      </c>
      <c r="Y13" s="15" t="s">
        <v>8</v>
      </c>
      <c r="Z13" s="15" t="s">
        <v>8</v>
      </c>
      <c r="AA13" s="9" t="s">
        <v>8</v>
      </c>
      <c r="AB13" s="44" t="s">
        <v>8</v>
      </c>
      <c r="AC13" s="44" t="s">
        <v>8</v>
      </c>
      <c r="AD13" s="44" t="s">
        <v>8</v>
      </c>
      <c r="AE13" s="44" t="s">
        <v>8</v>
      </c>
      <c r="AF13" s="98" t="s">
        <v>8</v>
      </c>
      <c r="AG13" s="5"/>
      <c r="AH13" s="14" t="str">
        <f t="shared" si="1"/>
        <v>Encarregado</v>
      </c>
      <c r="AI13" s="52">
        <f t="shared" si="3"/>
        <v>0</v>
      </c>
    </row>
    <row r="14" spans="1:36"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7"/>
    </row>
    <row r="15" spans="1:36">
      <c r="A15" s="107" t="s">
        <v>15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11"/>
      <c r="AI15" s="118"/>
    </row>
    <row r="16" spans="1:36">
      <c r="A16" s="20" t="s">
        <v>7</v>
      </c>
      <c r="B16" s="10" t="s">
        <v>8</v>
      </c>
      <c r="C16" s="10" t="s">
        <v>8</v>
      </c>
      <c r="D16" s="10" t="s">
        <v>8</v>
      </c>
      <c r="E16" s="10" t="s">
        <v>8</v>
      </c>
      <c r="F16" s="42">
        <v>4</v>
      </c>
      <c r="G16" s="42">
        <v>5</v>
      </c>
      <c r="H16" s="42">
        <v>5</v>
      </c>
      <c r="I16" s="42">
        <v>3</v>
      </c>
      <c r="J16" s="42">
        <v>5</v>
      </c>
      <c r="K16" s="10"/>
      <c r="L16" s="10" t="s">
        <v>8</v>
      </c>
      <c r="M16" s="42">
        <v>5</v>
      </c>
      <c r="N16" s="42">
        <v>5</v>
      </c>
      <c r="O16" s="42">
        <v>5</v>
      </c>
      <c r="P16" s="42">
        <v>3</v>
      </c>
      <c r="Q16" s="42">
        <v>4</v>
      </c>
      <c r="R16" s="10" t="s">
        <v>8</v>
      </c>
      <c r="S16" s="10" t="s">
        <v>8</v>
      </c>
      <c r="T16" s="42">
        <v>3</v>
      </c>
      <c r="U16" s="42">
        <v>3</v>
      </c>
      <c r="V16" s="42">
        <v>2.5</v>
      </c>
      <c r="W16" s="42">
        <v>3</v>
      </c>
      <c r="X16" s="42">
        <v>1</v>
      </c>
      <c r="Y16" s="10" t="s">
        <v>8</v>
      </c>
      <c r="Z16" s="10" t="s">
        <v>8</v>
      </c>
      <c r="AA16" s="42">
        <v>2</v>
      </c>
      <c r="AB16" s="42">
        <v>3</v>
      </c>
      <c r="AC16" s="42">
        <v>3</v>
      </c>
      <c r="AD16" s="42">
        <v>3</v>
      </c>
      <c r="AE16" s="42">
        <v>3</v>
      </c>
      <c r="AF16" s="96" t="s">
        <v>8</v>
      </c>
      <c r="AG16" s="5"/>
      <c r="AH16" s="12" t="str">
        <f>A16</f>
        <v>Servente</v>
      </c>
      <c r="AI16" s="54">
        <f>SUM(B16:AF16)</f>
        <v>70.5</v>
      </c>
      <c r="AJ16" s="5">
        <f>AI16-SUM(F16:V16)</f>
        <v>18</v>
      </c>
    </row>
    <row r="17" spans="1:36">
      <c r="A17" s="21" t="s">
        <v>16</v>
      </c>
      <c r="B17" s="10" t="s">
        <v>8</v>
      </c>
      <c r="C17" s="10" t="s">
        <v>8</v>
      </c>
      <c r="D17" s="10" t="s">
        <v>8</v>
      </c>
      <c r="E17" s="10" t="s">
        <v>8</v>
      </c>
      <c r="F17" s="43" t="s">
        <v>8</v>
      </c>
      <c r="G17" s="43" t="s">
        <v>8</v>
      </c>
      <c r="H17" s="43" t="s">
        <v>8</v>
      </c>
      <c r="I17" s="43" t="s">
        <v>8</v>
      </c>
      <c r="J17" s="43" t="s">
        <v>8</v>
      </c>
      <c r="K17" s="10" t="s">
        <v>8</v>
      </c>
      <c r="L17" s="10" t="s">
        <v>8</v>
      </c>
      <c r="M17" s="43" t="s">
        <v>8</v>
      </c>
      <c r="N17" s="43" t="s">
        <v>8</v>
      </c>
      <c r="O17" s="43"/>
      <c r="P17" s="43" t="s">
        <v>8</v>
      </c>
      <c r="Q17" s="43" t="s">
        <v>8</v>
      </c>
      <c r="R17" s="10" t="s">
        <v>8</v>
      </c>
      <c r="S17" s="10" t="s">
        <v>8</v>
      </c>
      <c r="T17" s="43" t="s">
        <v>8</v>
      </c>
      <c r="U17" s="43" t="s">
        <v>8</v>
      </c>
      <c r="V17" s="43"/>
      <c r="W17" s="43" t="s">
        <v>8</v>
      </c>
      <c r="X17" s="43" t="s">
        <v>8</v>
      </c>
      <c r="Y17" s="10" t="s">
        <v>8</v>
      </c>
      <c r="Z17" s="10" t="s">
        <v>8</v>
      </c>
      <c r="AA17" s="43" t="s">
        <v>8</v>
      </c>
      <c r="AB17" s="43" t="s">
        <v>8</v>
      </c>
      <c r="AC17" s="43" t="s">
        <v>8</v>
      </c>
      <c r="AD17" s="43" t="s">
        <v>8</v>
      </c>
      <c r="AE17" s="43" t="s">
        <v>8</v>
      </c>
      <c r="AF17" s="97" t="s">
        <v>8</v>
      </c>
      <c r="AG17" s="5"/>
      <c r="AH17" s="13" t="s">
        <v>16</v>
      </c>
      <c r="AI17" s="51">
        <f>SUM(B17:AF17)</f>
        <v>0</v>
      </c>
    </row>
    <row r="18" spans="1:36">
      <c r="A18" s="21" t="s">
        <v>9</v>
      </c>
      <c r="B18" s="10" t="s">
        <v>8</v>
      </c>
      <c r="C18" s="10" t="s">
        <v>8</v>
      </c>
      <c r="D18" s="10" t="s">
        <v>8</v>
      </c>
      <c r="E18" s="10" t="s">
        <v>8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10" t="s">
        <v>8</v>
      </c>
      <c r="L18" s="10" t="s">
        <v>8</v>
      </c>
      <c r="M18" s="43">
        <v>1</v>
      </c>
      <c r="N18" s="43">
        <v>1</v>
      </c>
      <c r="O18" s="43">
        <v>2</v>
      </c>
      <c r="P18" s="43">
        <v>1</v>
      </c>
      <c r="Q18" s="43">
        <v>1</v>
      </c>
      <c r="R18" s="10" t="s">
        <v>8</v>
      </c>
      <c r="S18" s="10" t="s">
        <v>8</v>
      </c>
      <c r="T18" s="43" t="s">
        <v>8</v>
      </c>
      <c r="U18" s="43">
        <v>1</v>
      </c>
      <c r="V18" s="43">
        <v>1</v>
      </c>
      <c r="W18" s="43">
        <v>1</v>
      </c>
      <c r="X18" s="43">
        <v>1</v>
      </c>
      <c r="Y18" s="10" t="s">
        <v>8</v>
      </c>
      <c r="Z18" s="10" t="s">
        <v>8</v>
      </c>
      <c r="AA18" s="43">
        <v>1</v>
      </c>
      <c r="AB18" s="43">
        <v>1</v>
      </c>
      <c r="AC18" s="43">
        <v>1</v>
      </c>
      <c r="AD18" s="43">
        <v>1</v>
      </c>
      <c r="AE18" s="43">
        <v>1</v>
      </c>
      <c r="AF18" s="97" t="s">
        <v>8</v>
      </c>
      <c r="AG18" s="5"/>
      <c r="AH18" s="13" t="str">
        <f>A18</f>
        <v>Meio Oficial</v>
      </c>
      <c r="AI18" s="51">
        <f>SUM(B18:AF18)</f>
        <v>20</v>
      </c>
      <c r="AJ18" s="5">
        <f t="shared" si="2"/>
        <v>7</v>
      </c>
    </row>
    <row r="19" spans="1:36">
      <c r="A19" s="21" t="s">
        <v>10</v>
      </c>
      <c r="B19" s="10" t="s">
        <v>8</v>
      </c>
      <c r="C19" s="10" t="s">
        <v>8</v>
      </c>
      <c r="D19" s="10" t="s">
        <v>8</v>
      </c>
      <c r="E19" s="10" t="s">
        <v>8</v>
      </c>
      <c r="F19" s="43">
        <v>1</v>
      </c>
      <c r="G19" s="43">
        <v>1</v>
      </c>
      <c r="H19" s="43">
        <v>2</v>
      </c>
      <c r="I19" s="43" t="s">
        <v>8</v>
      </c>
      <c r="J19" s="43">
        <v>2</v>
      </c>
      <c r="K19" s="10" t="s">
        <v>8</v>
      </c>
      <c r="L19" s="10" t="s">
        <v>8</v>
      </c>
      <c r="M19" s="43">
        <v>2</v>
      </c>
      <c r="N19" s="43">
        <v>4</v>
      </c>
      <c r="O19" s="43">
        <v>4</v>
      </c>
      <c r="P19" s="43">
        <v>4</v>
      </c>
      <c r="Q19" s="43">
        <v>4</v>
      </c>
      <c r="R19" s="10" t="s">
        <v>8</v>
      </c>
      <c r="S19" s="10" t="s">
        <v>8</v>
      </c>
      <c r="T19" s="43">
        <v>1</v>
      </c>
      <c r="U19" s="43">
        <v>4</v>
      </c>
      <c r="V19" s="43">
        <v>3</v>
      </c>
      <c r="W19" s="43">
        <v>4</v>
      </c>
      <c r="X19" s="43">
        <v>4</v>
      </c>
      <c r="Y19" s="10" t="s">
        <v>8</v>
      </c>
      <c r="Z19" s="10" t="s">
        <v>8</v>
      </c>
      <c r="AA19" s="43">
        <v>4</v>
      </c>
      <c r="AB19" s="43">
        <v>4</v>
      </c>
      <c r="AC19" s="43">
        <v>3</v>
      </c>
      <c r="AD19" s="43">
        <v>3</v>
      </c>
      <c r="AE19" s="43">
        <v>3</v>
      </c>
      <c r="AF19" s="97" t="s">
        <v>8</v>
      </c>
      <c r="AG19" s="5"/>
      <c r="AH19" s="13" t="str">
        <f>A19</f>
        <v>Pedreiro</v>
      </c>
      <c r="AI19" s="51">
        <f>SUM(B19:AF19)</f>
        <v>57</v>
      </c>
      <c r="AJ19" s="5">
        <f t="shared" si="2"/>
        <v>25</v>
      </c>
    </row>
    <row r="20" spans="1:36">
      <c r="A20" s="11" t="s">
        <v>14</v>
      </c>
      <c r="B20" s="15" t="s">
        <v>8</v>
      </c>
      <c r="C20" s="15" t="s">
        <v>8</v>
      </c>
      <c r="D20" s="15" t="s">
        <v>8</v>
      </c>
      <c r="E20" s="15" t="s">
        <v>8</v>
      </c>
      <c r="F20" s="44" t="s">
        <v>8</v>
      </c>
      <c r="G20" s="44" t="s">
        <v>8</v>
      </c>
      <c r="H20" s="44" t="s">
        <v>8</v>
      </c>
      <c r="I20" s="44" t="s">
        <v>8</v>
      </c>
      <c r="J20" s="44" t="s">
        <v>8</v>
      </c>
      <c r="K20" s="15" t="s">
        <v>8</v>
      </c>
      <c r="L20" s="15" t="s">
        <v>8</v>
      </c>
      <c r="M20" s="44" t="s">
        <v>8</v>
      </c>
      <c r="N20" s="44" t="s">
        <v>8</v>
      </c>
      <c r="O20" s="44" t="s">
        <v>8</v>
      </c>
      <c r="P20" s="44" t="s">
        <v>8</v>
      </c>
      <c r="Q20" s="44" t="s">
        <v>8</v>
      </c>
      <c r="R20" s="15" t="s">
        <v>8</v>
      </c>
      <c r="S20" s="15" t="s">
        <v>8</v>
      </c>
      <c r="T20" s="44" t="s">
        <v>8</v>
      </c>
      <c r="U20" s="44" t="s">
        <v>8</v>
      </c>
      <c r="V20" s="44"/>
      <c r="W20" s="44" t="s">
        <v>8</v>
      </c>
      <c r="X20" s="44" t="s">
        <v>8</v>
      </c>
      <c r="Y20" s="15" t="s">
        <v>8</v>
      </c>
      <c r="Z20" s="15" t="s">
        <v>8</v>
      </c>
      <c r="AA20" s="44" t="s">
        <v>8</v>
      </c>
      <c r="AB20" s="44" t="s">
        <v>8</v>
      </c>
      <c r="AC20" s="44" t="s">
        <v>8</v>
      </c>
      <c r="AD20" s="44" t="s">
        <v>8</v>
      </c>
      <c r="AE20" s="44" t="s">
        <v>8</v>
      </c>
      <c r="AF20" s="98" t="s">
        <v>8</v>
      </c>
      <c r="AG20" s="5"/>
      <c r="AH20" s="14" t="str">
        <f>A20</f>
        <v>Encarregado</v>
      </c>
      <c r="AI20" s="52">
        <f>SUM(B20:AF20)</f>
        <v>0</v>
      </c>
    </row>
    <row r="21" spans="1:36"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7"/>
    </row>
    <row r="22" spans="1:36">
      <c r="A22" s="115" t="s">
        <v>17</v>
      </c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9"/>
    </row>
    <row r="23" spans="1:36">
      <c r="A23" s="20" t="s">
        <v>7</v>
      </c>
      <c r="B23" s="10" t="s">
        <v>8</v>
      </c>
      <c r="C23" s="10" t="s">
        <v>8</v>
      </c>
      <c r="D23" s="10" t="s">
        <v>8</v>
      </c>
      <c r="E23" s="10" t="s">
        <v>8</v>
      </c>
      <c r="F23" s="42">
        <v>4</v>
      </c>
      <c r="G23" s="42">
        <v>4</v>
      </c>
      <c r="H23" s="42">
        <v>3</v>
      </c>
      <c r="I23" s="42">
        <v>3</v>
      </c>
      <c r="J23" s="42">
        <v>3</v>
      </c>
      <c r="K23" s="10" t="s">
        <v>8</v>
      </c>
      <c r="L23" s="10" t="s">
        <v>8</v>
      </c>
      <c r="M23" s="42">
        <v>2</v>
      </c>
      <c r="N23" s="42">
        <v>2</v>
      </c>
      <c r="O23" s="42">
        <v>3</v>
      </c>
      <c r="P23" s="42">
        <v>2</v>
      </c>
      <c r="Q23" s="42">
        <v>2</v>
      </c>
      <c r="R23" s="10" t="s">
        <v>8</v>
      </c>
      <c r="S23" s="10" t="s">
        <v>8</v>
      </c>
      <c r="T23" s="42">
        <v>2</v>
      </c>
      <c r="U23" s="42">
        <v>2</v>
      </c>
      <c r="V23" s="42">
        <v>2</v>
      </c>
      <c r="W23" s="42">
        <v>2</v>
      </c>
      <c r="X23" s="42">
        <v>2</v>
      </c>
      <c r="Y23" s="10" t="s">
        <v>8</v>
      </c>
      <c r="Z23" s="10" t="s">
        <v>8</v>
      </c>
      <c r="AA23" s="42">
        <v>1</v>
      </c>
      <c r="AB23" s="42">
        <v>1</v>
      </c>
      <c r="AC23" s="42">
        <v>1</v>
      </c>
      <c r="AD23" s="42">
        <v>1</v>
      </c>
      <c r="AE23" s="42">
        <v>1</v>
      </c>
      <c r="AF23" s="96" t="s">
        <v>8</v>
      </c>
      <c r="AG23" s="5"/>
      <c r="AH23" s="12" t="str">
        <f>A23</f>
        <v>Servente</v>
      </c>
      <c r="AI23" s="54">
        <f>SUM(B23:AF23)</f>
        <v>43</v>
      </c>
      <c r="AJ23" s="5">
        <f t="shared" si="2"/>
        <v>9</v>
      </c>
    </row>
    <row r="24" spans="1:36">
      <c r="A24" s="21" t="s">
        <v>18</v>
      </c>
      <c r="B24" s="10" t="s">
        <v>8</v>
      </c>
      <c r="C24" s="10" t="s">
        <v>8</v>
      </c>
      <c r="D24" s="10" t="s">
        <v>8</v>
      </c>
      <c r="E24" s="10" t="s">
        <v>8</v>
      </c>
      <c r="F24" s="43" t="s">
        <v>8</v>
      </c>
      <c r="G24" s="43" t="s">
        <v>8</v>
      </c>
      <c r="H24" s="43" t="s">
        <v>8</v>
      </c>
      <c r="I24" s="43" t="s">
        <v>8</v>
      </c>
      <c r="J24" s="43" t="s">
        <v>8</v>
      </c>
      <c r="K24" s="10" t="s">
        <v>8</v>
      </c>
      <c r="L24" s="10" t="s">
        <v>8</v>
      </c>
      <c r="M24" s="43" t="s">
        <v>8</v>
      </c>
      <c r="N24" s="43" t="s">
        <v>8</v>
      </c>
      <c r="O24" s="43" t="s">
        <v>8</v>
      </c>
      <c r="P24" s="43" t="s">
        <v>8</v>
      </c>
      <c r="Q24" s="43" t="s">
        <v>8</v>
      </c>
      <c r="R24" s="10" t="s">
        <v>8</v>
      </c>
      <c r="S24" s="10" t="s">
        <v>8</v>
      </c>
      <c r="T24" s="43" t="s">
        <v>8</v>
      </c>
      <c r="U24" s="43" t="s">
        <v>8</v>
      </c>
      <c r="V24" s="43"/>
      <c r="W24" s="43" t="s">
        <v>8</v>
      </c>
      <c r="X24" s="43" t="s">
        <v>8</v>
      </c>
      <c r="Y24" s="10" t="s">
        <v>8</v>
      </c>
      <c r="Z24" s="10" t="s">
        <v>8</v>
      </c>
      <c r="AA24" s="43" t="s">
        <v>8</v>
      </c>
      <c r="AB24" s="43" t="s">
        <v>8</v>
      </c>
      <c r="AC24" s="43" t="s">
        <v>8</v>
      </c>
      <c r="AD24" s="43" t="s">
        <v>8</v>
      </c>
      <c r="AE24" s="43" t="s">
        <v>8</v>
      </c>
      <c r="AF24" s="97" t="s">
        <v>8</v>
      </c>
      <c r="AG24" s="5"/>
      <c r="AH24" s="13" t="str">
        <f>A24</f>
        <v>Meio-Oficial</v>
      </c>
      <c r="AI24" s="51">
        <f>SUM(B24:AF24)</f>
        <v>0</v>
      </c>
    </row>
    <row r="25" spans="1:36">
      <c r="A25" s="21" t="s">
        <v>10</v>
      </c>
      <c r="B25" s="10" t="s">
        <v>8</v>
      </c>
      <c r="C25" s="10" t="s">
        <v>8</v>
      </c>
      <c r="D25" s="10" t="s">
        <v>8</v>
      </c>
      <c r="E25" s="10" t="s">
        <v>8</v>
      </c>
      <c r="F25" s="43">
        <v>3</v>
      </c>
      <c r="G25" s="43">
        <v>4</v>
      </c>
      <c r="H25" s="43">
        <v>4</v>
      </c>
      <c r="I25" s="43">
        <v>5</v>
      </c>
      <c r="J25" s="43">
        <v>6</v>
      </c>
      <c r="K25" s="10" t="s">
        <v>8</v>
      </c>
      <c r="L25" s="10" t="s">
        <v>8</v>
      </c>
      <c r="M25" s="43">
        <v>3</v>
      </c>
      <c r="N25" s="43">
        <v>5</v>
      </c>
      <c r="O25" s="43">
        <v>5</v>
      </c>
      <c r="P25" s="43">
        <v>4</v>
      </c>
      <c r="Q25" s="43">
        <v>4</v>
      </c>
      <c r="R25" s="10" t="s">
        <v>8</v>
      </c>
      <c r="S25" s="10" t="s">
        <v>8</v>
      </c>
      <c r="T25" s="43">
        <v>3</v>
      </c>
      <c r="U25" s="43">
        <v>3</v>
      </c>
      <c r="V25" s="43">
        <v>2.5</v>
      </c>
      <c r="W25" s="43">
        <v>2</v>
      </c>
      <c r="X25" s="43">
        <v>3</v>
      </c>
      <c r="Y25" s="10" t="s">
        <v>8</v>
      </c>
      <c r="Z25" s="10" t="s">
        <v>8</v>
      </c>
      <c r="AA25" s="43">
        <v>3</v>
      </c>
      <c r="AB25" s="43">
        <v>3</v>
      </c>
      <c r="AC25" s="43">
        <v>2.5</v>
      </c>
      <c r="AD25" s="43">
        <v>2</v>
      </c>
      <c r="AE25" s="43">
        <v>2</v>
      </c>
      <c r="AF25" s="97" t="s">
        <v>8</v>
      </c>
      <c r="AG25" s="5"/>
      <c r="AH25" s="13" t="str">
        <f>A25</f>
        <v>Pedreiro</v>
      </c>
      <c r="AI25" s="51">
        <f>SUM(B25:AF25)</f>
        <v>69</v>
      </c>
      <c r="AJ25" s="5">
        <f t="shared" si="2"/>
        <v>17.5</v>
      </c>
    </row>
    <row r="26" spans="1:36">
      <c r="A26" s="21" t="s">
        <v>19</v>
      </c>
      <c r="B26" s="10" t="s">
        <v>8</v>
      </c>
      <c r="C26" s="10" t="s">
        <v>8</v>
      </c>
      <c r="D26" s="10" t="s">
        <v>8</v>
      </c>
      <c r="E26" s="10" t="s">
        <v>8</v>
      </c>
      <c r="F26" s="43" t="s">
        <v>8</v>
      </c>
      <c r="G26" s="43" t="s">
        <v>8</v>
      </c>
      <c r="H26" s="43" t="s">
        <v>8</v>
      </c>
      <c r="I26" s="43" t="s">
        <v>8</v>
      </c>
      <c r="J26" s="43" t="s">
        <v>8</v>
      </c>
      <c r="K26" s="10" t="s">
        <v>8</v>
      </c>
      <c r="L26" s="10" t="s">
        <v>8</v>
      </c>
      <c r="M26" s="43" t="s">
        <v>8</v>
      </c>
      <c r="N26" s="43" t="s">
        <v>8</v>
      </c>
      <c r="O26" s="43" t="s">
        <v>8</v>
      </c>
      <c r="P26" s="43" t="s">
        <v>8</v>
      </c>
      <c r="Q26" s="43" t="s">
        <v>8</v>
      </c>
      <c r="R26" s="10" t="s">
        <v>8</v>
      </c>
      <c r="S26" s="10" t="s">
        <v>8</v>
      </c>
      <c r="T26" s="43" t="s">
        <v>8</v>
      </c>
      <c r="U26" s="43" t="s">
        <v>8</v>
      </c>
      <c r="V26" s="43"/>
      <c r="W26" s="43" t="s">
        <v>8</v>
      </c>
      <c r="X26" s="43" t="s">
        <v>8</v>
      </c>
      <c r="Y26" s="10" t="s">
        <v>8</v>
      </c>
      <c r="Z26" s="10" t="s">
        <v>8</v>
      </c>
      <c r="AA26" s="43" t="s">
        <v>8</v>
      </c>
      <c r="AB26" s="43" t="s">
        <v>8</v>
      </c>
      <c r="AC26" s="43" t="s">
        <v>8</v>
      </c>
      <c r="AD26" s="43" t="s">
        <v>8</v>
      </c>
      <c r="AE26" s="43" t="s">
        <v>8</v>
      </c>
      <c r="AF26" s="97" t="s">
        <v>8</v>
      </c>
      <c r="AG26" s="5"/>
      <c r="AH26" s="13" t="str">
        <f>A26</f>
        <v>Carpinteiro</v>
      </c>
      <c r="AI26" s="51">
        <f>SUM(B26:AF26)</f>
        <v>0</v>
      </c>
    </row>
    <row r="27" spans="1:36">
      <c r="A27" s="11" t="s">
        <v>20</v>
      </c>
      <c r="B27" s="15" t="s">
        <v>8</v>
      </c>
      <c r="C27" s="15" t="s">
        <v>8</v>
      </c>
      <c r="D27" s="15" t="s">
        <v>8</v>
      </c>
      <c r="E27" s="15" t="s">
        <v>8</v>
      </c>
      <c r="F27" s="44" t="s">
        <v>8</v>
      </c>
      <c r="G27" s="44" t="s">
        <v>8</v>
      </c>
      <c r="H27" s="44" t="s">
        <v>8</v>
      </c>
      <c r="I27" s="44" t="s">
        <v>8</v>
      </c>
      <c r="J27" s="44" t="s">
        <v>8</v>
      </c>
      <c r="K27" s="15" t="s">
        <v>8</v>
      </c>
      <c r="L27" s="15" t="s">
        <v>8</v>
      </c>
      <c r="M27" s="44" t="s">
        <v>8</v>
      </c>
      <c r="N27" s="44" t="s">
        <v>8</v>
      </c>
      <c r="O27" s="9" t="s">
        <v>8</v>
      </c>
      <c r="P27" s="44" t="s">
        <v>8</v>
      </c>
      <c r="Q27" s="9" t="s">
        <v>8</v>
      </c>
      <c r="R27" s="15" t="s">
        <v>8</v>
      </c>
      <c r="S27" s="15" t="s">
        <v>8</v>
      </c>
      <c r="T27" s="9" t="s">
        <v>8</v>
      </c>
      <c r="U27" s="9">
        <v>2</v>
      </c>
      <c r="V27" s="44">
        <v>2</v>
      </c>
      <c r="W27" s="9">
        <v>2</v>
      </c>
      <c r="X27" s="44">
        <v>1</v>
      </c>
      <c r="Y27" s="15" t="s">
        <v>8</v>
      </c>
      <c r="Z27" s="15" t="s">
        <v>8</v>
      </c>
      <c r="AA27" s="44">
        <v>1</v>
      </c>
      <c r="AB27" s="44">
        <v>2</v>
      </c>
      <c r="AC27" s="44">
        <v>2</v>
      </c>
      <c r="AD27" s="44">
        <v>2</v>
      </c>
      <c r="AE27" s="44">
        <v>2</v>
      </c>
      <c r="AF27" s="98" t="s">
        <v>8</v>
      </c>
      <c r="AG27" s="5"/>
      <c r="AH27" s="14" t="str">
        <f>A27</f>
        <v>Armador</v>
      </c>
      <c r="AI27" s="52">
        <f>SUM(B27:AF27)</f>
        <v>16</v>
      </c>
      <c r="AJ27" s="5">
        <f t="shared" si="2"/>
        <v>12</v>
      </c>
    </row>
    <row r="28" spans="1:36"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17"/>
    </row>
    <row r="29" spans="1:36">
      <c r="A29" s="107" t="s">
        <v>21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</row>
    <row r="30" spans="1:36" ht="15" customHeight="1">
      <c r="A30" s="21" t="s">
        <v>7</v>
      </c>
      <c r="B30" s="10" t="s">
        <v>8</v>
      </c>
      <c r="C30" s="10" t="s">
        <v>8</v>
      </c>
      <c r="D30" s="10" t="s">
        <v>8</v>
      </c>
      <c r="E30" s="10" t="s">
        <v>8</v>
      </c>
      <c r="F30" s="43">
        <v>4</v>
      </c>
      <c r="G30" s="43">
        <v>4</v>
      </c>
      <c r="H30" s="43">
        <v>4</v>
      </c>
      <c r="I30" s="43">
        <v>5</v>
      </c>
      <c r="J30" s="43">
        <v>6</v>
      </c>
      <c r="K30" s="10" t="s">
        <v>8</v>
      </c>
      <c r="L30" s="10" t="s">
        <v>8</v>
      </c>
      <c r="M30" s="43">
        <v>6</v>
      </c>
      <c r="N30" s="43">
        <v>5</v>
      </c>
      <c r="O30" s="43">
        <v>6</v>
      </c>
      <c r="P30" s="43">
        <v>5</v>
      </c>
      <c r="Q30" s="43">
        <v>4</v>
      </c>
      <c r="R30" s="10" t="s">
        <v>8</v>
      </c>
      <c r="S30" s="10" t="s">
        <v>8</v>
      </c>
      <c r="T30" s="43">
        <v>3</v>
      </c>
      <c r="U30" s="43">
        <v>4</v>
      </c>
      <c r="V30" s="43">
        <v>5</v>
      </c>
      <c r="W30" s="43">
        <v>4</v>
      </c>
      <c r="X30" s="43">
        <v>4</v>
      </c>
      <c r="Y30" s="10" t="s">
        <v>8</v>
      </c>
      <c r="Z30" s="10" t="s">
        <v>8</v>
      </c>
      <c r="AA30" s="43">
        <v>4</v>
      </c>
      <c r="AB30" s="43">
        <v>4</v>
      </c>
      <c r="AC30" s="43">
        <v>4</v>
      </c>
      <c r="AD30" s="43">
        <v>4</v>
      </c>
      <c r="AE30" s="43">
        <v>4</v>
      </c>
      <c r="AF30" s="97" t="s">
        <v>8</v>
      </c>
      <c r="AG30" s="5"/>
      <c r="AH30" s="13" t="str">
        <f>A30</f>
        <v>Servente</v>
      </c>
      <c r="AI30" s="53">
        <f>SUM(B30:AF30)</f>
        <v>89</v>
      </c>
      <c r="AJ30" s="5">
        <f t="shared" si="2"/>
        <v>28</v>
      </c>
    </row>
    <row r="31" spans="1:36">
      <c r="A31" s="21" t="s">
        <v>10</v>
      </c>
      <c r="B31" s="10" t="s">
        <v>8</v>
      </c>
      <c r="C31" s="10" t="s">
        <v>8</v>
      </c>
      <c r="D31" s="10" t="s">
        <v>8</v>
      </c>
      <c r="E31" s="10" t="s">
        <v>8</v>
      </c>
      <c r="F31" s="43">
        <v>2</v>
      </c>
      <c r="G31" s="43">
        <v>2</v>
      </c>
      <c r="H31" s="43">
        <v>2</v>
      </c>
      <c r="I31" s="43">
        <v>2</v>
      </c>
      <c r="J31" s="43">
        <v>2</v>
      </c>
      <c r="K31" s="10" t="s">
        <v>8</v>
      </c>
      <c r="L31" s="10" t="s">
        <v>8</v>
      </c>
      <c r="M31" s="43">
        <v>2</v>
      </c>
      <c r="N31" s="43">
        <v>2</v>
      </c>
      <c r="O31" s="43">
        <v>3</v>
      </c>
      <c r="P31" s="43">
        <v>2</v>
      </c>
      <c r="Q31" s="43">
        <v>2</v>
      </c>
      <c r="R31" s="10" t="s">
        <v>8</v>
      </c>
      <c r="S31" s="10" t="s">
        <v>8</v>
      </c>
      <c r="T31" s="43">
        <v>4</v>
      </c>
      <c r="U31" s="43">
        <v>4</v>
      </c>
      <c r="V31" s="43">
        <v>4</v>
      </c>
      <c r="W31" s="43">
        <v>3</v>
      </c>
      <c r="X31" s="43">
        <v>3</v>
      </c>
      <c r="Y31" s="10" t="s">
        <v>8</v>
      </c>
      <c r="Z31" s="10" t="s">
        <v>8</v>
      </c>
      <c r="AA31" s="43">
        <v>3</v>
      </c>
      <c r="AB31" s="43">
        <v>3</v>
      </c>
      <c r="AC31" s="43">
        <v>3</v>
      </c>
      <c r="AD31" s="43">
        <v>3</v>
      </c>
      <c r="AE31" s="43">
        <v>3</v>
      </c>
      <c r="AF31" s="97" t="s">
        <v>8</v>
      </c>
      <c r="AG31" s="5"/>
      <c r="AH31" s="13" t="str">
        <f>A31</f>
        <v>Pedreiro</v>
      </c>
      <c r="AI31" s="51">
        <f>SUM(B31:AF31)</f>
        <v>54</v>
      </c>
      <c r="AJ31" s="5">
        <f t="shared" si="2"/>
        <v>21</v>
      </c>
    </row>
    <row r="32" spans="1:36" ht="15" customHeight="1">
      <c r="A32" s="11" t="s">
        <v>14</v>
      </c>
      <c r="B32" s="15" t="s">
        <v>8</v>
      </c>
      <c r="C32" s="15" t="s">
        <v>8</v>
      </c>
      <c r="D32" s="15" t="s">
        <v>8</v>
      </c>
      <c r="E32" s="15" t="s">
        <v>8</v>
      </c>
      <c r="F32" s="44">
        <v>1</v>
      </c>
      <c r="G32" s="44">
        <v>1</v>
      </c>
      <c r="H32" s="44">
        <v>1</v>
      </c>
      <c r="I32" s="44">
        <v>1</v>
      </c>
      <c r="J32" s="44">
        <v>1</v>
      </c>
      <c r="K32" s="15" t="s">
        <v>8</v>
      </c>
      <c r="L32" s="15" t="s">
        <v>8</v>
      </c>
      <c r="M32" s="44">
        <v>1</v>
      </c>
      <c r="N32" s="44">
        <v>1</v>
      </c>
      <c r="O32" s="44">
        <v>1</v>
      </c>
      <c r="P32" s="44">
        <v>1</v>
      </c>
      <c r="Q32" s="44">
        <v>1</v>
      </c>
      <c r="R32" s="15" t="s">
        <v>8</v>
      </c>
      <c r="S32" s="15" t="s">
        <v>8</v>
      </c>
      <c r="T32" s="44">
        <v>1</v>
      </c>
      <c r="U32" s="44">
        <v>1</v>
      </c>
      <c r="V32" s="44">
        <v>1</v>
      </c>
      <c r="W32" s="44">
        <v>1</v>
      </c>
      <c r="X32" s="44">
        <v>1</v>
      </c>
      <c r="Y32" s="15" t="s">
        <v>8</v>
      </c>
      <c r="Z32" s="15" t="s">
        <v>8</v>
      </c>
      <c r="AA32" s="44">
        <v>1</v>
      </c>
      <c r="AB32" s="44">
        <v>1</v>
      </c>
      <c r="AC32" s="44">
        <v>1</v>
      </c>
      <c r="AD32" s="44">
        <v>1</v>
      </c>
      <c r="AE32" s="44">
        <v>1</v>
      </c>
      <c r="AF32" s="98" t="s">
        <v>8</v>
      </c>
      <c r="AG32" s="5"/>
      <c r="AH32" s="14" t="str">
        <f>A32</f>
        <v>Encarregado</v>
      </c>
      <c r="AI32" s="52">
        <f>SUM(B32:AF32)</f>
        <v>20</v>
      </c>
      <c r="AJ32" s="5">
        <f t="shared" si="2"/>
        <v>7</v>
      </c>
    </row>
    <row r="33" spans="1:36" ht="15" customHeight="1">
      <c r="A33" s="11" t="s">
        <v>9</v>
      </c>
      <c r="B33" s="15" t="s">
        <v>8</v>
      </c>
      <c r="C33" s="15" t="s">
        <v>8</v>
      </c>
      <c r="D33" s="15" t="s">
        <v>8</v>
      </c>
      <c r="E33" s="15" t="s">
        <v>8</v>
      </c>
      <c r="F33" s="44" t="s">
        <v>8</v>
      </c>
      <c r="G33" s="44" t="s">
        <v>8</v>
      </c>
      <c r="H33" s="44">
        <v>1</v>
      </c>
      <c r="I33" s="44" t="s">
        <v>8</v>
      </c>
      <c r="J33" s="44" t="s">
        <v>8</v>
      </c>
      <c r="K33" s="15" t="s">
        <v>8</v>
      </c>
      <c r="L33" s="15" t="s">
        <v>8</v>
      </c>
      <c r="M33" s="44">
        <v>1</v>
      </c>
      <c r="N33" s="44">
        <v>1</v>
      </c>
      <c r="O33" s="44" t="s">
        <v>8</v>
      </c>
      <c r="P33" s="44" t="s">
        <v>8</v>
      </c>
      <c r="Q33" s="44" t="s">
        <v>8</v>
      </c>
      <c r="R33" s="15" t="s">
        <v>8</v>
      </c>
      <c r="S33" s="15" t="s">
        <v>8</v>
      </c>
      <c r="T33" s="44" t="s">
        <v>8</v>
      </c>
      <c r="U33" s="44" t="s">
        <v>8</v>
      </c>
      <c r="V33" s="44">
        <v>1</v>
      </c>
      <c r="W33" s="44">
        <v>1</v>
      </c>
      <c r="X33" s="44">
        <v>1</v>
      </c>
      <c r="Y33" s="15" t="s">
        <v>8</v>
      </c>
      <c r="Z33" s="15" t="s">
        <v>8</v>
      </c>
      <c r="AA33" s="44">
        <v>1</v>
      </c>
      <c r="AB33" s="44">
        <v>1</v>
      </c>
      <c r="AC33" s="44">
        <v>1</v>
      </c>
      <c r="AD33" s="44">
        <v>1</v>
      </c>
      <c r="AE33" s="44">
        <v>1</v>
      </c>
      <c r="AF33" s="98" t="s">
        <v>8</v>
      </c>
      <c r="AG33" s="5"/>
      <c r="AH33" s="14" t="s">
        <v>18</v>
      </c>
      <c r="AI33" s="52">
        <f>SUM(F33:AF33)</f>
        <v>11</v>
      </c>
      <c r="AJ33" s="5">
        <f t="shared" si="2"/>
        <v>7</v>
      </c>
    </row>
    <row r="34" spans="1:36"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17"/>
    </row>
    <row r="35" spans="1:36">
      <c r="A35" s="110" t="s">
        <v>22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08"/>
      <c r="AH35" s="108"/>
      <c r="AI35" s="109"/>
    </row>
    <row r="36" spans="1:36" ht="15" customHeight="1">
      <c r="A36" s="20" t="s">
        <v>7</v>
      </c>
      <c r="B36" s="19" t="s">
        <v>8</v>
      </c>
      <c r="C36" s="19" t="s">
        <v>8</v>
      </c>
      <c r="D36" s="19" t="s">
        <v>8</v>
      </c>
      <c r="E36" s="19" t="s">
        <v>8</v>
      </c>
      <c r="F36" s="42" t="s">
        <v>8</v>
      </c>
      <c r="G36" s="42">
        <v>1</v>
      </c>
      <c r="H36" s="42">
        <v>1</v>
      </c>
      <c r="I36" s="42">
        <v>1</v>
      </c>
      <c r="J36" s="42">
        <v>1</v>
      </c>
      <c r="K36" s="19" t="s">
        <v>8</v>
      </c>
      <c r="L36" s="19" t="s">
        <v>8</v>
      </c>
      <c r="M36" s="42">
        <v>1</v>
      </c>
      <c r="N36" s="42" t="s">
        <v>8</v>
      </c>
      <c r="O36" s="42">
        <v>2</v>
      </c>
      <c r="P36" s="42">
        <v>2</v>
      </c>
      <c r="Q36" s="42">
        <v>1</v>
      </c>
      <c r="R36" s="19" t="s">
        <v>8</v>
      </c>
      <c r="S36" s="19" t="s">
        <v>8</v>
      </c>
      <c r="T36" s="42" t="s">
        <v>8</v>
      </c>
      <c r="U36" s="42" t="s">
        <v>8</v>
      </c>
      <c r="V36" s="42">
        <v>1</v>
      </c>
      <c r="W36" s="42">
        <v>1</v>
      </c>
      <c r="X36" s="42">
        <v>1</v>
      </c>
      <c r="Y36" s="19" t="s">
        <v>8</v>
      </c>
      <c r="Z36" s="19" t="s">
        <v>8</v>
      </c>
      <c r="AA36" s="42">
        <v>1</v>
      </c>
      <c r="AB36" s="42">
        <v>1</v>
      </c>
      <c r="AC36" s="42">
        <v>2</v>
      </c>
      <c r="AD36" s="42">
        <v>1</v>
      </c>
      <c r="AE36" s="42" t="s">
        <v>8</v>
      </c>
      <c r="AF36" s="96" t="s">
        <v>8</v>
      </c>
      <c r="AG36" s="5"/>
      <c r="AH36" s="12" t="str">
        <f>A36</f>
        <v>Servente</v>
      </c>
      <c r="AI36" s="16">
        <f>SUM(B36:AF36)</f>
        <v>18</v>
      </c>
    </row>
    <row r="37" spans="1:36">
      <c r="A37" s="11" t="s">
        <v>23</v>
      </c>
      <c r="B37" s="15" t="s">
        <v>8</v>
      </c>
      <c r="C37" s="15" t="s">
        <v>8</v>
      </c>
      <c r="D37" s="15" t="s">
        <v>8</v>
      </c>
      <c r="E37" s="15" t="s">
        <v>8</v>
      </c>
      <c r="F37" s="44" t="s">
        <v>8</v>
      </c>
      <c r="G37" s="44">
        <v>1</v>
      </c>
      <c r="H37" s="44">
        <v>1</v>
      </c>
      <c r="I37" s="44">
        <v>1</v>
      </c>
      <c r="J37" s="44">
        <v>2</v>
      </c>
      <c r="K37" s="15" t="s">
        <v>8</v>
      </c>
      <c r="L37" s="15" t="s">
        <v>8</v>
      </c>
      <c r="M37" s="44">
        <v>1</v>
      </c>
      <c r="N37" s="44">
        <v>1</v>
      </c>
      <c r="O37" s="44">
        <v>2</v>
      </c>
      <c r="P37" s="44">
        <v>2</v>
      </c>
      <c r="Q37" s="44">
        <v>2</v>
      </c>
      <c r="R37" s="15" t="s">
        <v>8</v>
      </c>
      <c r="S37" s="15" t="s">
        <v>8</v>
      </c>
      <c r="T37" s="44" t="s">
        <v>8</v>
      </c>
      <c r="U37" s="44">
        <v>1</v>
      </c>
      <c r="V37" s="44">
        <v>2</v>
      </c>
      <c r="W37" s="44">
        <v>2</v>
      </c>
      <c r="X37" s="44">
        <v>2</v>
      </c>
      <c r="Y37" s="15" t="s">
        <v>8</v>
      </c>
      <c r="Z37" s="15" t="s">
        <v>8</v>
      </c>
      <c r="AA37" s="44">
        <v>2</v>
      </c>
      <c r="AB37" s="44">
        <v>2</v>
      </c>
      <c r="AC37" s="44">
        <v>2</v>
      </c>
      <c r="AD37" s="44">
        <v>2</v>
      </c>
      <c r="AE37" s="44" t="s">
        <v>8</v>
      </c>
      <c r="AF37" s="98" t="s">
        <v>8</v>
      </c>
      <c r="AG37" s="5"/>
      <c r="AH37" s="14" t="str">
        <f>A37</f>
        <v>Impermeabilizador</v>
      </c>
      <c r="AI37" s="18">
        <f>SUM(B37:AF37)</f>
        <v>28</v>
      </c>
    </row>
    <row r="39" spans="1:36">
      <c r="A39" s="110" t="s">
        <v>24</v>
      </c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08"/>
      <c r="AH39" s="108"/>
      <c r="AI39" s="109"/>
    </row>
    <row r="40" spans="1:36">
      <c r="A40" s="48" t="s">
        <v>25</v>
      </c>
      <c r="B40" s="50"/>
      <c r="C40" s="50"/>
      <c r="D40" s="50"/>
      <c r="E40" s="50"/>
      <c r="F40" s="49">
        <v>2</v>
      </c>
      <c r="G40" s="49">
        <v>2</v>
      </c>
      <c r="H40" s="49">
        <v>2</v>
      </c>
      <c r="I40" s="49">
        <v>2</v>
      </c>
      <c r="J40" s="49">
        <v>2</v>
      </c>
      <c r="K40" s="50"/>
      <c r="L40" s="50"/>
      <c r="M40" s="49">
        <v>2</v>
      </c>
      <c r="N40" s="49">
        <v>2</v>
      </c>
      <c r="O40" s="49">
        <v>2</v>
      </c>
      <c r="P40" s="49">
        <v>2</v>
      </c>
      <c r="Q40" s="49">
        <v>2</v>
      </c>
      <c r="R40" s="50"/>
      <c r="S40" s="50"/>
      <c r="T40" s="49">
        <v>1</v>
      </c>
      <c r="U40" s="49">
        <v>2</v>
      </c>
      <c r="V40" s="49">
        <v>2</v>
      </c>
      <c r="W40" s="49">
        <v>2</v>
      </c>
      <c r="X40" s="49">
        <v>2</v>
      </c>
      <c r="Y40" s="50"/>
      <c r="Z40" s="50"/>
      <c r="AA40" s="49">
        <v>2</v>
      </c>
      <c r="AB40" s="49">
        <v>2</v>
      </c>
      <c r="AC40" s="49">
        <v>2</v>
      </c>
      <c r="AD40" s="49">
        <v>2</v>
      </c>
      <c r="AE40" s="49"/>
      <c r="AF40" s="99"/>
      <c r="AG40" s="5"/>
      <c r="AH40" s="14" t="str">
        <f>A40</f>
        <v>Bombeiro</v>
      </c>
      <c r="AI40" s="18">
        <f>SUM(B40:AF40)</f>
        <v>37</v>
      </c>
    </row>
    <row r="42" spans="1:36">
      <c r="A42" s="110" t="s">
        <v>26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08"/>
      <c r="AH42" s="108"/>
      <c r="AI42" s="109"/>
    </row>
    <row r="43" spans="1:36">
      <c r="A43" s="48" t="s">
        <v>27</v>
      </c>
      <c r="B43" s="50"/>
      <c r="C43" s="50"/>
      <c r="D43" s="50"/>
      <c r="E43" s="50"/>
      <c r="F43" s="49" t="s">
        <v>8</v>
      </c>
      <c r="G43" s="49" t="s">
        <v>8</v>
      </c>
      <c r="H43" s="49" t="s">
        <v>8</v>
      </c>
      <c r="I43" s="49" t="s">
        <v>8</v>
      </c>
      <c r="J43" s="49" t="s">
        <v>8</v>
      </c>
      <c r="K43" s="50"/>
      <c r="L43" s="50"/>
      <c r="M43" s="49" t="s">
        <v>8</v>
      </c>
      <c r="N43" s="49" t="s">
        <v>8</v>
      </c>
      <c r="O43" s="49" t="s">
        <v>8</v>
      </c>
      <c r="P43" s="49" t="s">
        <v>8</v>
      </c>
      <c r="Q43" s="49" t="s">
        <v>8</v>
      </c>
      <c r="R43" s="50"/>
      <c r="S43" s="50"/>
      <c r="T43" s="49" t="s">
        <v>8</v>
      </c>
      <c r="U43" s="49" t="s">
        <v>8</v>
      </c>
      <c r="V43" s="49" t="s">
        <v>8</v>
      </c>
      <c r="W43" s="49" t="s">
        <v>8</v>
      </c>
      <c r="X43" s="49" t="s">
        <v>8</v>
      </c>
      <c r="Y43" s="50"/>
      <c r="Z43" s="50"/>
      <c r="AA43" s="49"/>
      <c r="AB43" s="49"/>
      <c r="AC43" s="49"/>
      <c r="AD43" s="49"/>
      <c r="AE43" s="49"/>
      <c r="AF43" s="99"/>
      <c r="AG43" s="5"/>
      <c r="AH43" s="14" t="str">
        <f>A43</f>
        <v>Serralheiro</v>
      </c>
      <c r="AI43" s="18">
        <f>SUM(B43:AF43)</f>
        <v>0</v>
      </c>
    </row>
    <row r="45" spans="1:36">
      <c r="A45" s="110" t="s">
        <v>28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08"/>
      <c r="AH45" s="108"/>
      <c r="AI45" s="109"/>
    </row>
    <row r="46" spans="1:36" ht="15" customHeight="1">
      <c r="A46" s="20" t="s">
        <v>7</v>
      </c>
      <c r="B46" s="50"/>
      <c r="C46" s="50"/>
      <c r="D46" s="50"/>
      <c r="E46" s="50"/>
      <c r="F46" s="42" t="s">
        <v>8</v>
      </c>
      <c r="G46" s="49" t="s">
        <v>8</v>
      </c>
      <c r="H46" s="49" t="s">
        <v>8</v>
      </c>
      <c r="I46" s="49" t="s">
        <v>8</v>
      </c>
      <c r="J46" s="42">
        <v>1</v>
      </c>
      <c r="K46" s="19" t="s">
        <v>8</v>
      </c>
      <c r="L46" s="19" t="s">
        <v>8</v>
      </c>
      <c r="M46" s="42">
        <v>1</v>
      </c>
      <c r="N46" s="42">
        <v>1</v>
      </c>
      <c r="O46" s="42">
        <v>1</v>
      </c>
      <c r="P46" s="42">
        <v>1</v>
      </c>
      <c r="Q46" s="42">
        <v>1</v>
      </c>
      <c r="R46" s="19" t="s">
        <v>8</v>
      </c>
      <c r="S46" s="19" t="s">
        <v>8</v>
      </c>
      <c r="T46" s="42" t="s">
        <v>8</v>
      </c>
      <c r="U46" s="42" t="s">
        <v>8</v>
      </c>
      <c r="V46" s="42" t="s">
        <v>8</v>
      </c>
      <c r="W46" s="42" t="s">
        <v>8</v>
      </c>
      <c r="X46" s="42">
        <v>1</v>
      </c>
      <c r="Y46" s="19" t="s">
        <v>8</v>
      </c>
      <c r="Z46" s="19" t="s">
        <v>8</v>
      </c>
      <c r="AA46" s="42">
        <v>1</v>
      </c>
      <c r="AB46" s="42">
        <v>1</v>
      </c>
      <c r="AC46" s="42">
        <v>1</v>
      </c>
      <c r="AD46" s="42">
        <v>1</v>
      </c>
      <c r="AE46" s="42" t="s">
        <v>8</v>
      </c>
      <c r="AF46" s="96" t="s">
        <v>8</v>
      </c>
      <c r="AG46" s="5"/>
      <c r="AH46" s="12" t="str">
        <f>A46</f>
        <v>Servente</v>
      </c>
      <c r="AI46" s="16">
        <f>SUM(B46:AF46)</f>
        <v>11</v>
      </c>
    </row>
    <row r="47" spans="1:36">
      <c r="A47" s="11" t="s">
        <v>10</v>
      </c>
      <c r="B47" s="50"/>
      <c r="C47" s="50"/>
      <c r="D47" s="50"/>
      <c r="E47" s="50"/>
      <c r="F47" s="44" t="s">
        <v>8</v>
      </c>
      <c r="G47" s="49" t="s">
        <v>8</v>
      </c>
      <c r="H47" s="49" t="s">
        <v>8</v>
      </c>
      <c r="I47" s="49" t="s">
        <v>8</v>
      </c>
      <c r="J47" s="44">
        <v>1</v>
      </c>
      <c r="K47" s="15"/>
      <c r="L47" s="15"/>
      <c r="M47" s="44">
        <v>1</v>
      </c>
      <c r="N47" s="44">
        <v>1</v>
      </c>
      <c r="O47" s="44">
        <v>1</v>
      </c>
      <c r="P47" s="44">
        <v>1</v>
      </c>
      <c r="Q47" s="44">
        <v>1</v>
      </c>
      <c r="R47" s="15"/>
      <c r="S47" s="15"/>
      <c r="T47" s="44" t="s">
        <v>8</v>
      </c>
      <c r="U47" s="44" t="s">
        <v>8</v>
      </c>
      <c r="V47" s="44"/>
      <c r="W47" s="44" t="s">
        <v>8</v>
      </c>
      <c r="X47" s="44">
        <v>1</v>
      </c>
      <c r="Y47" s="15"/>
      <c r="Z47" s="15"/>
      <c r="AA47" s="44">
        <v>1</v>
      </c>
      <c r="AB47" s="44">
        <v>1</v>
      </c>
      <c r="AC47" s="44">
        <v>1</v>
      </c>
      <c r="AD47" s="44">
        <v>1</v>
      </c>
      <c r="AE47" s="44"/>
      <c r="AF47" s="98"/>
      <c r="AG47" s="5"/>
      <c r="AH47" s="14" t="str">
        <f>A47</f>
        <v>Pedreiro</v>
      </c>
      <c r="AI47" s="18">
        <f>SUM(B47:AF47)</f>
        <v>11</v>
      </c>
    </row>
    <row r="49" spans="1:35">
      <c r="A49" s="107" t="s">
        <v>29</v>
      </c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9"/>
    </row>
    <row r="50" spans="1:35">
      <c r="A50" s="21" t="s">
        <v>25</v>
      </c>
      <c r="B50" s="10" t="s">
        <v>8</v>
      </c>
      <c r="C50" s="10" t="s">
        <v>8</v>
      </c>
      <c r="D50" s="10" t="s">
        <v>8</v>
      </c>
      <c r="E50" s="10" t="s">
        <v>8</v>
      </c>
      <c r="F50" s="43" t="s">
        <v>8</v>
      </c>
      <c r="G50" s="43" t="s">
        <v>8</v>
      </c>
      <c r="H50" s="43" t="s">
        <v>8</v>
      </c>
      <c r="I50" s="43" t="s">
        <v>8</v>
      </c>
      <c r="J50" s="43" t="s">
        <v>8</v>
      </c>
      <c r="K50" s="10" t="s">
        <v>8</v>
      </c>
      <c r="L50" s="10" t="s">
        <v>8</v>
      </c>
      <c r="M50" s="43" t="s">
        <v>8</v>
      </c>
      <c r="N50" s="43" t="s">
        <v>8</v>
      </c>
      <c r="O50" s="43" t="s">
        <v>8</v>
      </c>
      <c r="P50" s="43" t="s">
        <v>8</v>
      </c>
      <c r="Q50" s="43" t="s">
        <v>8</v>
      </c>
      <c r="R50" s="10" t="s">
        <v>8</v>
      </c>
      <c r="S50" s="10" t="s">
        <v>8</v>
      </c>
      <c r="T50" s="43" t="s">
        <v>8</v>
      </c>
      <c r="U50" s="43" t="s">
        <v>8</v>
      </c>
      <c r="V50" s="43" t="s">
        <v>8</v>
      </c>
      <c r="W50" s="43" t="s">
        <v>8</v>
      </c>
      <c r="X50" s="43" t="s">
        <v>8</v>
      </c>
      <c r="Y50" s="10" t="s">
        <v>8</v>
      </c>
      <c r="Z50" s="10" t="s">
        <v>8</v>
      </c>
      <c r="AA50" s="43" t="s">
        <v>8</v>
      </c>
      <c r="AB50" s="43" t="s">
        <v>8</v>
      </c>
      <c r="AC50" s="43" t="s">
        <v>8</v>
      </c>
      <c r="AD50" s="43" t="s">
        <v>8</v>
      </c>
      <c r="AE50" s="43" t="s">
        <v>8</v>
      </c>
      <c r="AF50" s="97" t="s">
        <v>8</v>
      </c>
      <c r="AG50" s="5"/>
      <c r="AH50" s="13" t="str">
        <f t="shared" ref="AH50:AH52" si="4">A50</f>
        <v>Bombeiro</v>
      </c>
      <c r="AI50" s="51">
        <f t="shared" ref="AI50:AI52" si="5">SUM(B50:AF50)</f>
        <v>0</v>
      </c>
    </row>
    <row r="51" spans="1:35">
      <c r="A51" s="21" t="s">
        <v>30</v>
      </c>
      <c r="B51" s="10" t="s">
        <v>8</v>
      </c>
      <c r="C51" s="10" t="s">
        <v>8</v>
      </c>
      <c r="D51" s="10" t="s">
        <v>8</v>
      </c>
      <c r="E51" s="10" t="s">
        <v>8</v>
      </c>
      <c r="F51" s="43">
        <v>3</v>
      </c>
      <c r="G51" s="43">
        <v>3</v>
      </c>
      <c r="H51" s="43">
        <v>3</v>
      </c>
      <c r="I51" s="43">
        <v>3</v>
      </c>
      <c r="J51" s="43">
        <v>3</v>
      </c>
      <c r="K51" s="10" t="s">
        <v>8</v>
      </c>
      <c r="L51" s="10" t="s">
        <v>8</v>
      </c>
      <c r="M51" s="43">
        <v>4</v>
      </c>
      <c r="N51" s="43">
        <v>4</v>
      </c>
      <c r="O51" s="43">
        <v>3</v>
      </c>
      <c r="P51" s="43">
        <v>3</v>
      </c>
      <c r="Q51" s="43">
        <v>2</v>
      </c>
      <c r="R51" s="10" t="s">
        <v>8</v>
      </c>
      <c r="S51" s="10" t="s">
        <v>8</v>
      </c>
      <c r="T51" s="43">
        <v>5</v>
      </c>
      <c r="U51" s="43">
        <v>2</v>
      </c>
      <c r="V51" s="43">
        <v>3</v>
      </c>
      <c r="W51" s="43">
        <v>3</v>
      </c>
      <c r="X51" s="43">
        <v>3</v>
      </c>
      <c r="Y51" s="10" t="s">
        <v>8</v>
      </c>
      <c r="Z51" s="10" t="s">
        <v>8</v>
      </c>
      <c r="AA51" s="43">
        <v>3</v>
      </c>
      <c r="AB51" s="43">
        <v>2</v>
      </c>
      <c r="AC51" s="43">
        <v>4</v>
      </c>
      <c r="AD51" s="43">
        <v>4</v>
      </c>
      <c r="AE51" s="43" t="s">
        <v>8</v>
      </c>
      <c r="AF51" s="97" t="s">
        <v>8</v>
      </c>
      <c r="AG51" s="5"/>
      <c r="AH51" s="13" t="str">
        <f t="shared" si="4"/>
        <v>Eletricista</v>
      </c>
      <c r="AI51" s="51">
        <f t="shared" si="5"/>
        <v>60</v>
      </c>
    </row>
    <row r="52" spans="1:35">
      <c r="A52" s="11" t="s">
        <v>7</v>
      </c>
      <c r="B52" s="15" t="s">
        <v>8</v>
      </c>
      <c r="C52" s="15" t="s">
        <v>8</v>
      </c>
      <c r="D52" s="15" t="s">
        <v>8</v>
      </c>
      <c r="E52" s="15" t="s">
        <v>8</v>
      </c>
      <c r="F52" s="44" t="s">
        <v>8</v>
      </c>
      <c r="G52" s="44" t="s">
        <v>8</v>
      </c>
      <c r="H52" s="44" t="s">
        <v>8</v>
      </c>
      <c r="I52" s="44" t="s">
        <v>8</v>
      </c>
      <c r="J52" s="44" t="s">
        <v>8</v>
      </c>
      <c r="K52" s="15" t="s">
        <v>8</v>
      </c>
      <c r="L52" s="15" t="s">
        <v>8</v>
      </c>
      <c r="M52" s="44" t="s">
        <v>8</v>
      </c>
      <c r="N52" s="44" t="s">
        <v>8</v>
      </c>
      <c r="O52" s="44" t="s">
        <v>8</v>
      </c>
      <c r="P52" s="44" t="s">
        <v>8</v>
      </c>
      <c r="Q52" s="44" t="s">
        <v>8</v>
      </c>
      <c r="R52" s="15" t="s">
        <v>8</v>
      </c>
      <c r="S52" s="15" t="s">
        <v>8</v>
      </c>
      <c r="T52" s="44" t="s">
        <v>8</v>
      </c>
      <c r="U52" s="44" t="s">
        <v>8</v>
      </c>
      <c r="V52" s="44" t="s">
        <v>8</v>
      </c>
      <c r="W52" s="44" t="s">
        <v>8</v>
      </c>
      <c r="X52" s="44" t="s">
        <v>8</v>
      </c>
      <c r="Y52" s="15" t="s">
        <v>8</v>
      </c>
      <c r="Z52" s="15" t="s">
        <v>8</v>
      </c>
      <c r="AA52" s="44" t="s">
        <v>8</v>
      </c>
      <c r="AB52" s="44" t="s">
        <v>8</v>
      </c>
      <c r="AC52" s="44" t="s">
        <v>8</v>
      </c>
      <c r="AD52" s="44" t="s">
        <v>8</v>
      </c>
      <c r="AE52" s="44" t="s">
        <v>8</v>
      </c>
      <c r="AF52" s="98" t="s">
        <v>8</v>
      </c>
      <c r="AG52" s="5"/>
      <c r="AH52" s="14" t="str">
        <f t="shared" si="4"/>
        <v>Servente</v>
      </c>
      <c r="AI52" s="52">
        <f t="shared" si="5"/>
        <v>0</v>
      </c>
    </row>
  </sheetData>
  <mergeCells count="10">
    <mergeCell ref="B1:AG2"/>
    <mergeCell ref="A15:AI15"/>
    <mergeCell ref="A22:AI22"/>
    <mergeCell ref="A49:AI49"/>
    <mergeCell ref="A35:AI35"/>
    <mergeCell ref="A42:AI42"/>
    <mergeCell ref="A39:AI39"/>
    <mergeCell ref="A45:AI45"/>
    <mergeCell ref="A6:AI6"/>
    <mergeCell ref="A29:AI29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7304-5C47-4CD6-A263-824A15ADF047}">
  <sheetPr>
    <tabColor rgb="FF00392F"/>
  </sheetPr>
  <dimension ref="A1:AJ51"/>
  <sheetViews>
    <sheetView showGridLines="0" zoomScale="85" zoomScaleNormal="85" workbookViewId="0">
      <pane ySplit="4" topLeftCell="A38" activePane="bottomLeft" state="frozen"/>
      <selection pane="bottomLeft" activeCell="A2" sqref="A2"/>
    </sheetView>
  </sheetViews>
  <sheetFormatPr defaultRowHeight="15"/>
  <cols>
    <col min="1" max="1" width="28.7109375" style="2" bestFit="1" customWidth="1"/>
    <col min="2" max="29" width="3.7109375" style="2" customWidth="1"/>
    <col min="30" max="32" width="4.42578125" style="2" customWidth="1"/>
    <col min="33" max="33" width="3.7109375" style="2" customWidth="1"/>
    <col min="34" max="34" width="27.140625" style="2" bestFit="1" customWidth="1"/>
    <col min="35" max="36" width="9.140625" style="5"/>
    <col min="37" max="16384" width="9.140625" style="2"/>
  </cols>
  <sheetData>
    <row r="1" spans="1:35" ht="23.25" customHeight="1">
      <c r="A1" s="95" t="s">
        <v>0</v>
      </c>
      <c r="B1" s="113" t="s">
        <v>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"/>
      <c r="AI1" s="7"/>
    </row>
    <row r="2" spans="1:35" ht="15.75" customHeight="1">
      <c r="A2" s="35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3" t="s">
        <v>2</v>
      </c>
      <c r="AI2" s="8" t="s">
        <v>31</v>
      </c>
    </row>
    <row r="3" spans="1:35">
      <c r="A3" s="38" t="s">
        <v>4</v>
      </c>
      <c r="B3" s="4">
        <v>1</v>
      </c>
      <c r="C3" s="4">
        <f>B3+1</f>
        <v>2</v>
      </c>
      <c r="D3" s="4">
        <f t="shared" ref="D3:V3" si="0">C3+1</f>
        <v>3</v>
      </c>
      <c r="E3" s="4">
        <f t="shared" si="0"/>
        <v>4</v>
      </c>
      <c r="F3" s="4">
        <f t="shared" si="0"/>
        <v>5</v>
      </c>
      <c r="G3" s="4">
        <f t="shared" si="0"/>
        <v>6</v>
      </c>
      <c r="H3" s="4">
        <f t="shared" si="0"/>
        <v>7</v>
      </c>
      <c r="I3" s="4">
        <f t="shared" si="0"/>
        <v>8</v>
      </c>
      <c r="J3" s="4">
        <f t="shared" si="0"/>
        <v>9</v>
      </c>
      <c r="K3" s="4">
        <f t="shared" si="0"/>
        <v>10</v>
      </c>
      <c r="L3" s="4">
        <f t="shared" si="0"/>
        <v>11</v>
      </c>
      <c r="M3" s="4">
        <f>L3+1</f>
        <v>12</v>
      </c>
      <c r="N3" s="4">
        <f t="shared" si="0"/>
        <v>13</v>
      </c>
      <c r="O3" s="4">
        <f t="shared" si="0"/>
        <v>14</v>
      </c>
      <c r="P3" s="4">
        <f t="shared" si="0"/>
        <v>15</v>
      </c>
      <c r="Q3" s="4">
        <f t="shared" si="0"/>
        <v>16</v>
      </c>
      <c r="R3" s="4">
        <f t="shared" si="0"/>
        <v>17</v>
      </c>
      <c r="S3" s="4">
        <f t="shared" si="0"/>
        <v>18</v>
      </c>
      <c r="T3" s="4">
        <f t="shared" si="0"/>
        <v>19</v>
      </c>
      <c r="U3" s="4">
        <f t="shared" si="0"/>
        <v>20</v>
      </c>
      <c r="V3" s="4">
        <f t="shared" si="0"/>
        <v>21</v>
      </c>
      <c r="W3" s="4">
        <f>V3+1</f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/>
      <c r="AH3" s="33" t="s">
        <v>5</v>
      </c>
      <c r="AI3" s="37">
        <f>SUM(AI7:AI13,AI16:AI20,AI23:AI27,AI30:AI33,AI36:AI37,AI40,AI43,AI46:AI47,AI50:AI51)</f>
        <v>359.5</v>
      </c>
    </row>
    <row r="4" spans="1:35">
      <c r="A4" s="39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41"/>
      <c r="AI4" s="40"/>
    </row>
    <row r="5" spans="1:35" ht="10.5" customHeight="1"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7"/>
    </row>
    <row r="6" spans="1:35">
      <c r="A6" s="107" t="s">
        <v>6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9"/>
    </row>
    <row r="7" spans="1:35" ht="15" customHeight="1">
      <c r="A7" s="88" t="s">
        <v>10</v>
      </c>
      <c r="B7" s="89"/>
      <c r="C7" s="90">
        <v>1</v>
      </c>
      <c r="D7" s="90">
        <v>1</v>
      </c>
      <c r="E7" s="90">
        <v>1</v>
      </c>
      <c r="F7" s="91">
        <v>1</v>
      </c>
      <c r="G7" s="91">
        <v>1</v>
      </c>
      <c r="H7" s="89"/>
      <c r="I7" s="89"/>
      <c r="J7" s="91">
        <v>1</v>
      </c>
      <c r="K7" s="90">
        <v>1</v>
      </c>
      <c r="L7" s="90">
        <v>1</v>
      </c>
      <c r="M7" s="91">
        <v>1</v>
      </c>
      <c r="N7" s="91">
        <v>1</v>
      </c>
      <c r="O7" s="89"/>
      <c r="P7" s="89"/>
      <c r="Q7" s="91">
        <v>0</v>
      </c>
      <c r="R7" s="91">
        <v>0</v>
      </c>
      <c r="S7" s="91">
        <v>0</v>
      </c>
      <c r="T7" s="91">
        <v>1</v>
      </c>
      <c r="U7" s="91">
        <v>1</v>
      </c>
      <c r="V7" s="89"/>
      <c r="W7" s="89"/>
      <c r="X7" s="91">
        <v>1</v>
      </c>
      <c r="Y7" s="90">
        <v>1</v>
      </c>
      <c r="Z7" s="90">
        <v>1</v>
      </c>
      <c r="AA7" s="90">
        <v>1</v>
      </c>
      <c r="AB7" s="90">
        <v>1</v>
      </c>
      <c r="AC7" s="89"/>
      <c r="AD7" s="91" t="s">
        <v>32</v>
      </c>
      <c r="AE7" s="91" t="s">
        <v>32</v>
      </c>
      <c r="AF7" s="92" t="s">
        <v>32</v>
      </c>
      <c r="AG7" s="5"/>
      <c r="AH7" s="88" t="str">
        <f>A7</f>
        <v>Pedreiro</v>
      </c>
      <c r="AI7" s="93">
        <f t="shared" ref="AI7:AI13" si="1">SUM(B7:AF7)</f>
        <v>17</v>
      </c>
    </row>
    <row r="8" spans="1:35">
      <c r="A8" s="61" t="s">
        <v>9</v>
      </c>
      <c r="B8" s="55"/>
      <c r="C8" s="73">
        <v>1</v>
      </c>
      <c r="D8" s="73">
        <v>2</v>
      </c>
      <c r="E8" s="73">
        <v>1</v>
      </c>
      <c r="F8" s="56">
        <v>1</v>
      </c>
      <c r="G8" s="56">
        <v>1</v>
      </c>
      <c r="H8" s="55"/>
      <c r="I8" s="55"/>
      <c r="J8" s="56">
        <v>1</v>
      </c>
      <c r="K8" s="73">
        <v>1</v>
      </c>
      <c r="L8" s="73">
        <v>2</v>
      </c>
      <c r="M8" s="56">
        <v>2</v>
      </c>
      <c r="N8" s="56">
        <v>1</v>
      </c>
      <c r="O8" s="55"/>
      <c r="P8" s="55"/>
      <c r="Q8" s="56">
        <v>0</v>
      </c>
      <c r="R8" s="56">
        <v>0</v>
      </c>
      <c r="S8" s="56">
        <v>0</v>
      </c>
      <c r="T8" s="56">
        <v>1</v>
      </c>
      <c r="U8" s="56">
        <v>1</v>
      </c>
      <c r="V8" s="55"/>
      <c r="W8" s="55"/>
      <c r="X8" s="56">
        <v>0</v>
      </c>
      <c r="Y8" s="73">
        <v>1</v>
      </c>
      <c r="Z8" s="73">
        <v>1</v>
      </c>
      <c r="AA8" s="73">
        <v>1</v>
      </c>
      <c r="AB8" s="73">
        <v>1</v>
      </c>
      <c r="AC8" s="55"/>
      <c r="AD8" s="56" t="s">
        <v>32</v>
      </c>
      <c r="AE8" s="56" t="s">
        <v>32</v>
      </c>
      <c r="AF8" s="62" t="s">
        <v>32</v>
      </c>
      <c r="AG8" s="5"/>
      <c r="AH8" s="88" t="str">
        <f t="shared" ref="AH8:AH13" si="2">A8</f>
        <v>Meio Oficial</v>
      </c>
      <c r="AI8" s="68">
        <f t="shared" si="1"/>
        <v>19</v>
      </c>
    </row>
    <row r="9" spans="1:35">
      <c r="A9" s="61" t="s">
        <v>7</v>
      </c>
      <c r="B9" s="55"/>
      <c r="C9" s="73">
        <v>2</v>
      </c>
      <c r="D9" s="73">
        <v>2</v>
      </c>
      <c r="E9" s="73">
        <v>2</v>
      </c>
      <c r="F9" s="56">
        <v>2</v>
      </c>
      <c r="G9" s="56">
        <v>2</v>
      </c>
      <c r="H9" s="55"/>
      <c r="I9" s="55"/>
      <c r="J9" s="56">
        <v>2</v>
      </c>
      <c r="K9" s="73">
        <v>2</v>
      </c>
      <c r="L9" s="73">
        <v>2</v>
      </c>
      <c r="M9" s="56">
        <v>2</v>
      </c>
      <c r="N9" s="56">
        <v>2</v>
      </c>
      <c r="O9" s="55"/>
      <c r="P9" s="55"/>
      <c r="Q9" s="56">
        <v>0</v>
      </c>
      <c r="R9" s="56">
        <v>0</v>
      </c>
      <c r="S9" s="56">
        <v>0</v>
      </c>
      <c r="T9" s="56">
        <v>2</v>
      </c>
      <c r="U9" s="56">
        <v>2</v>
      </c>
      <c r="V9" s="55"/>
      <c r="W9" s="55"/>
      <c r="X9" s="56">
        <v>2</v>
      </c>
      <c r="Y9" s="73">
        <v>2</v>
      </c>
      <c r="Z9" s="73">
        <v>2</v>
      </c>
      <c r="AA9" s="73">
        <v>2</v>
      </c>
      <c r="AB9" s="73">
        <v>2</v>
      </c>
      <c r="AC9" s="55"/>
      <c r="AD9" s="56" t="s">
        <v>32</v>
      </c>
      <c r="AE9" s="56" t="s">
        <v>32</v>
      </c>
      <c r="AF9" s="62" t="s">
        <v>32</v>
      </c>
      <c r="AG9" s="5"/>
      <c r="AH9" s="88" t="str">
        <f t="shared" si="2"/>
        <v>Servente</v>
      </c>
      <c r="AI9" s="68">
        <f t="shared" si="1"/>
        <v>34</v>
      </c>
    </row>
    <row r="10" spans="1:35">
      <c r="A10" s="61" t="s">
        <v>14</v>
      </c>
      <c r="B10" s="55"/>
      <c r="C10" s="73"/>
      <c r="D10" s="73"/>
      <c r="E10" s="73"/>
      <c r="F10" s="56"/>
      <c r="G10" s="56"/>
      <c r="H10" s="55"/>
      <c r="I10" s="55"/>
      <c r="J10" s="56"/>
      <c r="K10" s="73"/>
      <c r="L10" s="73"/>
      <c r="M10" s="56"/>
      <c r="N10" s="56"/>
      <c r="O10" s="55"/>
      <c r="P10" s="55"/>
      <c r="Q10" s="56"/>
      <c r="R10" s="73"/>
      <c r="S10" s="73"/>
      <c r="T10" s="56"/>
      <c r="U10" s="56"/>
      <c r="V10" s="55"/>
      <c r="W10" s="55"/>
      <c r="X10" s="56"/>
      <c r="Y10" s="73"/>
      <c r="Z10" s="73"/>
      <c r="AA10" s="56"/>
      <c r="AB10" s="56"/>
      <c r="AC10" s="55"/>
      <c r="AD10" s="56" t="s">
        <v>32</v>
      </c>
      <c r="AE10" s="56" t="s">
        <v>32</v>
      </c>
      <c r="AF10" s="62" t="s">
        <v>32</v>
      </c>
      <c r="AG10" s="5"/>
      <c r="AH10" s="88" t="str">
        <f t="shared" si="2"/>
        <v>Encarregado</v>
      </c>
      <c r="AI10" s="68">
        <f t="shared" si="1"/>
        <v>0</v>
      </c>
    </row>
    <row r="11" spans="1:35">
      <c r="A11" s="61" t="s">
        <v>20</v>
      </c>
      <c r="B11" s="55"/>
      <c r="C11" s="73"/>
      <c r="D11" s="73"/>
      <c r="E11" s="73"/>
      <c r="F11" s="56"/>
      <c r="G11" s="56"/>
      <c r="H11" s="55"/>
      <c r="I11" s="55"/>
      <c r="J11" s="56"/>
      <c r="K11" s="73"/>
      <c r="L11" s="73"/>
      <c r="M11" s="56"/>
      <c r="N11" s="56"/>
      <c r="O11" s="55"/>
      <c r="P11" s="55"/>
      <c r="Q11" s="56"/>
      <c r="R11" s="73"/>
      <c r="S11" s="73"/>
      <c r="T11" s="56"/>
      <c r="U11" s="56"/>
      <c r="V11" s="55"/>
      <c r="W11" s="55"/>
      <c r="X11" s="56"/>
      <c r="Y11" s="73"/>
      <c r="Z11" s="73"/>
      <c r="AA11" s="56"/>
      <c r="AB11" s="56"/>
      <c r="AC11" s="55"/>
      <c r="AD11" s="56" t="s">
        <v>32</v>
      </c>
      <c r="AE11" s="56" t="s">
        <v>32</v>
      </c>
      <c r="AF11" s="62" t="s">
        <v>32</v>
      </c>
      <c r="AG11" s="5"/>
      <c r="AH11" s="88" t="str">
        <f t="shared" si="2"/>
        <v>Armador</v>
      </c>
      <c r="AI11" s="68">
        <f t="shared" si="1"/>
        <v>0</v>
      </c>
    </row>
    <row r="12" spans="1:35">
      <c r="A12" s="61" t="s">
        <v>13</v>
      </c>
      <c r="B12" s="55"/>
      <c r="C12" s="73"/>
      <c r="D12" s="73"/>
      <c r="E12" s="73"/>
      <c r="F12" s="56"/>
      <c r="G12" s="56"/>
      <c r="H12" s="55"/>
      <c r="I12" s="55"/>
      <c r="J12" s="56"/>
      <c r="K12" s="73"/>
      <c r="L12" s="73"/>
      <c r="M12" s="56"/>
      <c r="N12" s="56"/>
      <c r="O12" s="55"/>
      <c r="P12" s="55"/>
      <c r="Q12" s="56"/>
      <c r="R12" s="73"/>
      <c r="S12" s="73"/>
      <c r="T12" s="56"/>
      <c r="U12" s="56"/>
      <c r="V12" s="55"/>
      <c r="W12" s="55"/>
      <c r="X12" s="56"/>
      <c r="Y12" s="73"/>
      <c r="Z12" s="73"/>
      <c r="AA12" s="56"/>
      <c r="AB12" s="56"/>
      <c r="AC12" s="55"/>
      <c r="AD12" s="56" t="s">
        <v>32</v>
      </c>
      <c r="AE12" s="56" t="s">
        <v>32</v>
      </c>
      <c r="AF12" s="62" t="s">
        <v>32</v>
      </c>
      <c r="AG12" s="5"/>
      <c r="AH12" s="88" t="str">
        <f t="shared" si="2"/>
        <v>Operador de Argamassadeira</v>
      </c>
      <c r="AI12" s="68">
        <f t="shared" si="1"/>
        <v>0</v>
      </c>
    </row>
    <row r="13" spans="1:35">
      <c r="A13" s="63" t="s">
        <v>33</v>
      </c>
      <c r="B13" s="64"/>
      <c r="C13" s="74"/>
      <c r="D13" s="74"/>
      <c r="E13" s="74"/>
      <c r="F13" s="74"/>
      <c r="G13" s="74"/>
      <c r="H13" s="64"/>
      <c r="I13" s="64"/>
      <c r="J13" s="74"/>
      <c r="K13" s="74"/>
      <c r="L13" s="74"/>
      <c r="M13" s="74"/>
      <c r="N13" s="74"/>
      <c r="O13" s="64"/>
      <c r="P13" s="64"/>
      <c r="Q13" s="74"/>
      <c r="R13" s="74"/>
      <c r="S13" s="74"/>
      <c r="T13" s="74"/>
      <c r="U13" s="74"/>
      <c r="V13" s="64"/>
      <c r="W13" s="64"/>
      <c r="X13" s="65"/>
      <c r="Y13" s="74"/>
      <c r="Z13" s="74"/>
      <c r="AA13" s="74"/>
      <c r="AB13" s="65"/>
      <c r="AC13" s="64"/>
      <c r="AD13" s="65" t="s">
        <v>32</v>
      </c>
      <c r="AE13" s="65" t="s">
        <v>32</v>
      </c>
      <c r="AF13" s="66" t="s">
        <v>32</v>
      </c>
      <c r="AG13" s="5"/>
      <c r="AH13" s="88" t="str">
        <f t="shared" si="2"/>
        <v>Betoneiro</v>
      </c>
      <c r="AI13" s="69">
        <f t="shared" si="1"/>
        <v>0</v>
      </c>
    </row>
    <row r="14" spans="1:35"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7"/>
    </row>
    <row r="15" spans="1:35">
      <c r="A15" s="110" t="s">
        <v>15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08"/>
      <c r="AH15" s="108"/>
      <c r="AI15" s="109"/>
    </row>
    <row r="16" spans="1:35">
      <c r="A16" s="20" t="s">
        <v>10</v>
      </c>
      <c r="B16" s="19"/>
      <c r="C16" s="70">
        <v>4</v>
      </c>
      <c r="D16" s="70">
        <v>1</v>
      </c>
      <c r="E16" s="70">
        <v>1</v>
      </c>
      <c r="F16" s="42">
        <v>1</v>
      </c>
      <c r="G16" s="42">
        <v>1</v>
      </c>
      <c r="H16" s="19"/>
      <c r="I16" s="19"/>
      <c r="J16" s="42">
        <v>1</v>
      </c>
      <c r="K16" s="70" t="s">
        <v>8</v>
      </c>
      <c r="L16" s="70">
        <v>1</v>
      </c>
      <c r="M16" s="42">
        <v>1</v>
      </c>
      <c r="N16" s="42">
        <v>1</v>
      </c>
      <c r="O16" s="19"/>
      <c r="P16" s="19"/>
      <c r="Q16" s="91">
        <v>0</v>
      </c>
      <c r="R16" s="91">
        <v>0</v>
      </c>
      <c r="S16" s="91">
        <v>0</v>
      </c>
      <c r="T16" s="42">
        <v>1</v>
      </c>
      <c r="U16" s="42">
        <v>1</v>
      </c>
      <c r="V16" s="19"/>
      <c r="W16" s="19"/>
      <c r="X16" s="42">
        <v>0</v>
      </c>
      <c r="Y16" s="90">
        <v>2</v>
      </c>
      <c r="Z16" s="70">
        <v>0</v>
      </c>
      <c r="AA16" s="42">
        <v>0</v>
      </c>
      <c r="AB16" s="42">
        <v>0</v>
      </c>
      <c r="AC16" s="19"/>
      <c r="AD16" s="42" t="s">
        <v>32</v>
      </c>
      <c r="AE16" s="42" t="s">
        <v>32</v>
      </c>
      <c r="AF16" s="45" t="s">
        <v>32</v>
      </c>
      <c r="AG16" s="5"/>
      <c r="AH16" s="88" t="str">
        <f>A16</f>
        <v>Pedreiro</v>
      </c>
      <c r="AI16" s="94">
        <f>SUM(B16:AF16)</f>
        <v>16</v>
      </c>
    </row>
    <row r="17" spans="1:35">
      <c r="A17" s="21" t="s">
        <v>9</v>
      </c>
      <c r="B17" s="10"/>
      <c r="C17" s="71">
        <v>1</v>
      </c>
      <c r="D17" s="71">
        <v>1</v>
      </c>
      <c r="E17" s="71">
        <v>1</v>
      </c>
      <c r="F17" s="43">
        <v>1</v>
      </c>
      <c r="G17" s="43">
        <v>1</v>
      </c>
      <c r="H17" s="10"/>
      <c r="I17" s="10"/>
      <c r="J17" s="43">
        <v>1</v>
      </c>
      <c r="K17" s="71">
        <v>1</v>
      </c>
      <c r="L17" s="71">
        <v>1</v>
      </c>
      <c r="M17" s="43">
        <v>1</v>
      </c>
      <c r="N17" s="43">
        <v>1</v>
      </c>
      <c r="O17" s="10"/>
      <c r="P17" s="10"/>
      <c r="Q17" s="56">
        <v>0</v>
      </c>
      <c r="R17" s="56">
        <v>0</v>
      </c>
      <c r="S17" s="56">
        <v>0</v>
      </c>
      <c r="T17" s="43">
        <v>1</v>
      </c>
      <c r="U17" s="43">
        <v>1</v>
      </c>
      <c r="V17" s="10"/>
      <c r="W17" s="10"/>
      <c r="X17" s="43">
        <v>1</v>
      </c>
      <c r="Y17" s="73">
        <v>0</v>
      </c>
      <c r="Z17" s="71">
        <v>1</v>
      </c>
      <c r="AA17" s="43">
        <v>1</v>
      </c>
      <c r="AB17" s="43">
        <v>1</v>
      </c>
      <c r="AC17" s="10"/>
      <c r="AD17" s="43" t="s">
        <v>32</v>
      </c>
      <c r="AE17" s="43" t="s">
        <v>32</v>
      </c>
      <c r="AF17" s="46" t="s">
        <v>32</v>
      </c>
      <c r="AG17" s="5"/>
      <c r="AH17" s="88" t="str">
        <f t="shared" ref="AH17:AH20" si="3">A17</f>
        <v>Meio Oficial</v>
      </c>
      <c r="AI17" s="85">
        <f>SUM(B17:AF17)</f>
        <v>16</v>
      </c>
    </row>
    <row r="18" spans="1:35">
      <c r="A18" s="21" t="s">
        <v>7</v>
      </c>
      <c r="B18" s="10"/>
      <c r="C18" s="71">
        <v>1</v>
      </c>
      <c r="D18" s="71">
        <v>3</v>
      </c>
      <c r="E18" s="71">
        <v>3</v>
      </c>
      <c r="F18" s="43">
        <v>3</v>
      </c>
      <c r="G18" s="43">
        <v>3</v>
      </c>
      <c r="H18" s="10"/>
      <c r="I18" s="10"/>
      <c r="J18" s="43">
        <v>3</v>
      </c>
      <c r="K18" s="71">
        <v>3</v>
      </c>
      <c r="L18" s="71">
        <v>3</v>
      </c>
      <c r="M18" s="43">
        <v>2</v>
      </c>
      <c r="N18" s="43">
        <v>2</v>
      </c>
      <c r="O18" s="10"/>
      <c r="P18" s="10"/>
      <c r="Q18" s="56">
        <v>0</v>
      </c>
      <c r="R18" s="56">
        <v>0</v>
      </c>
      <c r="S18" s="56">
        <v>0</v>
      </c>
      <c r="T18" s="43">
        <v>1</v>
      </c>
      <c r="U18" s="43">
        <v>1</v>
      </c>
      <c r="V18" s="10"/>
      <c r="W18" s="10"/>
      <c r="X18" s="43">
        <v>0.5</v>
      </c>
      <c r="Y18" s="73">
        <v>0.5</v>
      </c>
      <c r="Z18" s="71">
        <v>0</v>
      </c>
      <c r="AA18" s="43">
        <v>1</v>
      </c>
      <c r="AB18" s="43">
        <v>1</v>
      </c>
      <c r="AC18" s="10"/>
      <c r="AD18" s="43" t="s">
        <v>32</v>
      </c>
      <c r="AE18" s="43" t="s">
        <v>32</v>
      </c>
      <c r="AF18" s="46" t="s">
        <v>32</v>
      </c>
      <c r="AG18" s="5"/>
      <c r="AH18" s="88" t="str">
        <f t="shared" si="3"/>
        <v>Servente</v>
      </c>
      <c r="AI18" s="85">
        <f>SUM(B18:AF18)</f>
        <v>31</v>
      </c>
    </row>
    <row r="19" spans="1:35">
      <c r="A19" s="21" t="s">
        <v>14</v>
      </c>
      <c r="B19" s="10"/>
      <c r="C19" s="71"/>
      <c r="D19" s="71"/>
      <c r="E19" s="71"/>
      <c r="F19" s="43"/>
      <c r="G19" s="43"/>
      <c r="H19" s="10"/>
      <c r="I19" s="10"/>
      <c r="J19" s="43"/>
      <c r="K19" s="71"/>
      <c r="L19" s="71"/>
      <c r="M19" s="43"/>
      <c r="N19" s="43"/>
      <c r="O19" s="10"/>
      <c r="P19" s="10"/>
      <c r="Q19" s="43"/>
      <c r="R19" s="71"/>
      <c r="S19" s="71"/>
      <c r="T19" s="43"/>
      <c r="U19" s="43"/>
      <c r="V19" s="10"/>
      <c r="W19" s="10"/>
      <c r="X19" s="43"/>
      <c r="Y19" s="71"/>
      <c r="Z19" s="71"/>
      <c r="AA19" s="43"/>
      <c r="AB19" s="43"/>
      <c r="AC19" s="10"/>
      <c r="AD19" s="43" t="s">
        <v>32</v>
      </c>
      <c r="AE19" s="43" t="s">
        <v>32</v>
      </c>
      <c r="AF19" s="46" t="s">
        <v>32</v>
      </c>
      <c r="AG19" s="5"/>
      <c r="AH19" s="88" t="str">
        <f t="shared" si="3"/>
        <v>Encarregado</v>
      </c>
      <c r="AI19" s="85">
        <f>SUM(B19:AF19)</f>
        <v>0</v>
      </c>
    </row>
    <row r="20" spans="1:35">
      <c r="A20" s="11" t="s">
        <v>20</v>
      </c>
      <c r="B20" s="15"/>
      <c r="C20" s="9"/>
      <c r="D20" s="9"/>
      <c r="E20" s="9"/>
      <c r="F20" s="44"/>
      <c r="G20" s="44"/>
      <c r="H20" s="15"/>
      <c r="I20" s="15"/>
      <c r="J20" s="44"/>
      <c r="K20" s="9"/>
      <c r="L20" s="9"/>
      <c r="M20" s="44"/>
      <c r="N20" s="44"/>
      <c r="O20" s="15"/>
      <c r="P20" s="15"/>
      <c r="Q20" s="44"/>
      <c r="R20" s="9"/>
      <c r="S20" s="9"/>
      <c r="T20" s="44"/>
      <c r="U20" s="44"/>
      <c r="V20" s="15"/>
      <c r="W20" s="15"/>
      <c r="X20" s="44"/>
      <c r="Y20" s="9"/>
      <c r="Z20" s="9"/>
      <c r="AA20" s="44"/>
      <c r="AB20" s="44"/>
      <c r="AC20" s="15"/>
      <c r="AD20" s="44" t="s">
        <v>32</v>
      </c>
      <c r="AE20" s="44" t="s">
        <v>32</v>
      </c>
      <c r="AF20" s="47" t="s">
        <v>32</v>
      </c>
      <c r="AG20" s="5"/>
      <c r="AH20" s="88" t="str">
        <f t="shared" si="3"/>
        <v>Armador</v>
      </c>
      <c r="AI20" s="18">
        <f>SUM(B20:AF20)</f>
        <v>0</v>
      </c>
    </row>
    <row r="21" spans="1:35"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7"/>
    </row>
    <row r="22" spans="1:35">
      <c r="A22" s="107" t="s">
        <v>17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9"/>
    </row>
    <row r="23" spans="1:35">
      <c r="A23" s="88" t="s">
        <v>10</v>
      </c>
      <c r="B23" s="89"/>
      <c r="C23" s="90">
        <v>4</v>
      </c>
      <c r="D23" s="90">
        <v>4</v>
      </c>
      <c r="E23" s="90">
        <v>7</v>
      </c>
      <c r="F23" s="91">
        <v>7</v>
      </c>
      <c r="G23" s="91">
        <v>7</v>
      </c>
      <c r="H23" s="89"/>
      <c r="I23" s="89"/>
      <c r="J23" s="91">
        <v>2</v>
      </c>
      <c r="K23" s="90">
        <v>2</v>
      </c>
      <c r="L23" s="90">
        <v>2</v>
      </c>
      <c r="M23" s="91">
        <v>2</v>
      </c>
      <c r="N23" s="91">
        <v>1</v>
      </c>
      <c r="O23" s="89"/>
      <c r="P23" s="89"/>
      <c r="Q23" s="91">
        <v>0</v>
      </c>
      <c r="R23" s="91">
        <v>0</v>
      </c>
      <c r="S23" s="91">
        <v>0</v>
      </c>
      <c r="T23" s="91">
        <v>1</v>
      </c>
      <c r="U23" s="91">
        <v>1</v>
      </c>
      <c r="V23" s="89"/>
      <c r="W23" s="89"/>
      <c r="X23" s="91">
        <v>2</v>
      </c>
      <c r="Y23" s="90">
        <v>1</v>
      </c>
      <c r="Z23" s="90">
        <v>1</v>
      </c>
      <c r="AA23" s="90">
        <v>1</v>
      </c>
      <c r="AB23" s="90">
        <v>1</v>
      </c>
      <c r="AC23" s="89"/>
      <c r="AD23" s="91" t="s">
        <v>32</v>
      </c>
      <c r="AE23" s="91" t="s">
        <v>32</v>
      </c>
      <c r="AF23" s="92" t="s">
        <v>32</v>
      </c>
      <c r="AG23" s="5"/>
      <c r="AH23" s="88" t="str">
        <f>A23</f>
        <v>Pedreiro</v>
      </c>
      <c r="AI23" s="93">
        <f>SUM(B23:AF23)</f>
        <v>46</v>
      </c>
    </row>
    <row r="24" spans="1:35">
      <c r="A24" s="61" t="s">
        <v>18</v>
      </c>
      <c r="B24" s="55"/>
      <c r="C24" s="73" t="s">
        <v>8</v>
      </c>
      <c r="D24" s="73" t="s">
        <v>8</v>
      </c>
      <c r="E24" s="73" t="s">
        <v>8</v>
      </c>
      <c r="F24" s="56" t="s">
        <v>8</v>
      </c>
      <c r="G24" s="56" t="s">
        <v>8</v>
      </c>
      <c r="H24" s="55"/>
      <c r="I24" s="55"/>
      <c r="J24" s="56" t="s">
        <v>8</v>
      </c>
      <c r="K24" s="73" t="s">
        <v>8</v>
      </c>
      <c r="L24" s="73">
        <v>0</v>
      </c>
      <c r="M24" s="56">
        <v>0</v>
      </c>
      <c r="N24" s="56">
        <v>1</v>
      </c>
      <c r="O24" s="55"/>
      <c r="P24" s="55"/>
      <c r="Q24" s="56">
        <v>0</v>
      </c>
      <c r="R24" s="56">
        <v>0</v>
      </c>
      <c r="S24" s="56">
        <v>0</v>
      </c>
      <c r="T24" s="56">
        <v>1</v>
      </c>
      <c r="U24" s="56">
        <v>1</v>
      </c>
      <c r="V24" s="55"/>
      <c r="W24" s="55"/>
      <c r="X24" s="56">
        <v>0</v>
      </c>
      <c r="Y24" s="73">
        <v>0</v>
      </c>
      <c r="Z24" s="73">
        <v>0</v>
      </c>
      <c r="AA24" s="73">
        <v>0</v>
      </c>
      <c r="AB24" s="73">
        <v>0</v>
      </c>
      <c r="AC24" s="55"/>
      <c r="AD24" s="56" t="s">
        <v>32</v>
      </c>
      <c r="AE24" s="56" t="s">
        <v>32</v>
      </c>
      <c r="AF24" s="62" t="s">
        <v>32</v>
      </c>
      <c r="AG24" s="5"/>
      <c r="AH24" s="88" t="str">
        <f t="shared" ref="AH24:AH27" si="4">A24</f>
        <v>Meio-Oficial</v>
      </c>
      <c r="AI24" s="68">
        <f>SUM(B24:AF24)</f>
        <v>3</v>
      </c>
    </row>
    <row r="25" spans="1:35">
      <c r="A25" s="61" t="s">
        <v>7</v>
      </c>
      <c r="B25" s="55"/>
      <c r="C25" s="73">
        <v>1</v>
      </c>
      <c r="D25" s="73">
        <v>1</v>
      </c>
      <c r="E25" s="73" t="s">
        <v>8</v>
      </c>
      <c r="F25" s="56" t="s">
        <v>8</v>
      </c>
      <c r="G25" s="56">
        <v>1</v>
      </c>
      <c r="H25" s="55"/>
      <c r="I25" s="55"/>
      <c r="J25" s="56">
        <v>1</v>
      </c>
      <c r="K25" s="73">
        <v>1</v>
      </c>
      <c r="L25" s="73">
        <v>1</v>
      </c>
      <c r="M25" s="56">
        <v>1</v>
      </c>
      <c r="N25" s="56">
        <v>1</v>
      </c>
      <c r="O25" s="55"/>
      <c r="P25" s="55"/>
      <c r="Q25" s="56">
        <v>0</v>
      </c>
      <c r="R25" s="56">
        <v>0</v>
      </c>
      <c r="S25" s="56">
        <v>0</v>
      </c>
      <c r="T25" s="56">
        <v>0</v>
      </c>
      <c r="U25" s="56">
        <v>1</v>
      </c>
      <c r="V25" s="55"/>
      <c r="W25" s="55"/>
      <c r="X25" s="56">
        <v>1</v>
      </c>
      <c r="Y25" s="73">
        <v>1</v>
      </c>
      <c r="Z25" s="73">
        <v>1</v>
      </c>
      <c r="AA25" s="73">
        <v>1</v>
      </c>
      <c r="AB25" s="73">
        <v>1</v>
      </c>
      <c r="AC25" s="55"/>
      <c r="AD25" s="56" t="s">
        <v>32</v>
      </c>
      <c r="AE25" s="56" t="s">
        <v>32</v>
      </c>
      <c r="AF25" s="62" t="s">
        <v>32</v>
      </c>
      <c r="AG25" s="5"/>
      <c r="AH25" s="88" t="str">
        <f t="shared" si="4"/>
        <v>Servente</v>
      </c>
      <c r="AI25" s="68">
        <f>SUM(B25:AF25)</f>
        <v>14</v>
      </c>
    </row>
    <row r="26" spans="1:35">
      <c r="A26" s="61" t="s">
        <v>19</v>
      </c>
      <c r="B26" s="55"/>
      <c r="C26" s="73" t="s">
        <v>8</v>
      </c>
      <c r="D26" s="73"/>
      <c r="E26" s="73" t="s">
        <v>8</v>
      </c>
      <c r="F26" s="56" t="s">
        <v>8</v>
      </c>
      <c r="G26" s="56"/>
      <c r="H26" s="55"/>
      <c r="I26" s="55"/>
      <c r="J26" s="56"/>
      <c r="K26" s="73"/>
      <c r="L26" s="73"/>
      <c r="M26" s="56"/>
      <c r="N26" s="56"/>
      <c r="O26" s="55"/>
      <c r="P26" s="55"/>
      <c r="Q26" s="56"/>
      <c r="R26" s="73"/>
      <c r="S26" s="73"/>
      <c r="T26" s="56"/>
      <c r="U26" s="56"/>
      <c r="V26" s="55"/>
      <c r="W26" s="55"/>
      <c r="X26" s="56"/>
      <c r="Y26" s="73"/>
      <c r="Z26" s="73"/>
      <c r="AA26" s="56"/>
      <c r="AB26" s="56"/>
      <c r="AC26" s="55"/>
      <c r="AD26" s="56" t="s">
        <v>32</v>
      </c>
      <c r="AE26" s="56" t="s">
        <v>32</v>
      </c>
      <c r="AF26" s="62" t="s">
        <v>32</v>
      </c>
      <c r="AG26" s="5"/>
      <c r="AH26" s="88" t="str">
        <f t="shared" si="4"/>
        <v>Carpinteiro</v>
      </c>
      <c r="AI26" s="68">
        <f>SUM(B26:AF26)</f>
        <v>0</v>
      </c>
    </row>
    <row r="27" spans="1:35">
      <c r="A27" s="63" t="s">
        <v>20</v>
      </c>
      <c r="B27" s="64"/>
      <c r="C27" s="74" t="s">
        <v>8</v>
      </c>
      <c r="D27" s="74" t="s">
        <v>8</v>
      </c>
      <c r="E27" s="74" t="s">
        <v>8</v>
      </c>
      <c r="F27" s="65" t="s">
        <v>8</v>
      </c>
      <c r="G27" s="65"/>
      <c r="H27" s="64"/>
      <c r="I27" s="64"/>
      <c r="J27" s="65"/>
      <c r="K27" s="74"/>
      <c r="L27" s="74"/>
      <c r="M27" s="65"/>
      <c r="N27" s="65"/>
      <c r="O27" s="64"/>
      <c r="P27" s="64"/>
      <c r="Q27" s="74"/>
      <c r="R27" s="74"/>
      <c r="S27" s="74"/>
      <c r="T27" s="74"/>
      <c r="U27" s="74"/>
      <c r="V27" s="64"/>
      <c r="W27" s="64"/>
      <c r="X27" s="65"/>
      <c r="Y27" s="74"/>
      <c r="Z27" s="74"/>
      <c r="AA27" s="65"/>
      <c r="AB27" s="65"/>
      <c r="AC27" s="64"/>
      <c r="AD27" s="65" t="s">
        <v>32</v>
      </c>
      <c r="AE27" s="65" t="s">
        <v>32</v>
      </c>
      <c r="AF27" s="66" t="s">
        <v>32</v>
      </c>
      <c r="AG27" s="5"/>
      <c r="AH27" s="88" t="str">
        <f t="shared" si="4"/>
        <v>Armador</v>
      </c>
      <c r="AI27" s="69">
        <f>SUM(B27:AF27)</f>
        <v>0</v>
      </c>
    </row>
    <row r="28" spans="1:35"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17"/>
    </row>
    <row r="29" spans="1:35">
      <c r="A29" s="107" t="s">
        <v>21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11"/>
      <c r="AI29" s="112"/>
    </row>
    <row r="30" spans="1:35" ht="15" customHeight="1">
      <c r="A30" s="88" t="s">
        <v>10</v>
      </c>
      <c r="B30" s="89"/>
      <c r="C30" s="90">
        <v>3</v>
      </c>
      <c r="D30" s="90">
        <v>3</v>
      </c>
      <c r="E30" s="90">
        <v>3</v>
      </c>
      <c r="F30" s="91">
        <v>3</v>
      </c>
      <c r="G30" s="91">
        <v>3</v>
      </c>
      <c r="H30" s="89"/>
      <c r="I30" s="89"/>
      <c r="J30" s="91">
        <v>2</v>
      </c>
      <c r="K30" s="90">
        <v>3</v>
      </c>
      <c r="L30" s="90">
        <v>0</v>
      </c>
      <c r="M30" s="91">
        <v>0</v>
      </c>
      <c r="N30" s="91">
        <v>0</v>
      </c>
      <c r="O30" s="89"/>
      <c r="P30" s="89"/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89"/>
      <c r="W30" s="89"/>
      <c r="X30" s="91">
        <v>0</v>
      </c>
      <c r="Y30" s="91">
        <v>0</v>
      </c>
      <c r="Z30" s="91">
        <v>0</v>
      </c>
      <c r="AA30" s="91">
        <v>0</v>
      </c>
      <c r="AB30" s="91">
        <v>0</v>
      </c>
      <c r="AC30" s="89"/>
      <c r="AD30" s="91" t="s">
        <v>32</v>
      </c>
      <c r="AE30" s="91" t="s">
        <v>32</v>
      </c>
      <c r="AF30" s="92" t="s">
        <v>32</v>
      </c>
      <c r="AG30" s="5"/>
      <c r="AH30" s="57" t="str">
        <f>A30</f>
        <v>Pedreiro</v>
      </c>
      <c r="AI30" s="67">
        <f>SUM(B30:AF30)</f>
        <v>20</v>
      </c>
    </row>
    <row r="31" spans="1:35">
      <c r="A31" s="61" t="s">
        <v>9</v>
      </c>
      <c r="B31" s="55"/>
      <c r="C31" s="73">
        <v>1</v>
      </c>
      <c r="D31" s="73">
        <v>2</v>
      </c>
      <c r="E31" s="73">
        <v>2</v>
      </c>
      <c r="F31" s="56">
        <v>1.5</v>
      </c>
      <c r="G31" s="56">
        <v>2</v>
      </c>
      <c r="H31" s="55"/>
      <c r="I31" s="55"/>
      <c r="J31" s="56">
        <v>2</v>
      </c>
      <c r="K31" s="73">
        <v>2</v>
      </c>
      <c r="L31" s="73">
        <v>0</v>
      </c>
      <c r="M31" s="56">
        <v>0</v>
      </c>
      <c r="N31" s="56">
        <v>0</v>
      </c>
      <c r="O31" s="55"/>
      <c r="P31" s="55"/>
      <c r="Q31" s="56">
        <v>0</v>
      </c>
      <c r="R31" s="56">
        <v>0</v>
      </c>
      <c r="S31" s="56">
        <v>0</v>
      </c>
      <c r="T31" s="56">
        <v>0</v>
      </c>
      <c r="U31" s="56">
        <v>0</v>
      </c>
      <c r="V31" s="55"/>
      <c r="W31" s="55"/>
      <c r="X31" s="56">
        <v>0</v>
      </c>
      <c r="Y31" s="56">
        <v>0</v>
      </c>
      <c r="Z31" s="56">
        <v>0</v>
      </c>
      <c r="AA31" s="56">
        <v>0</v>
      </c>
      <c r="AB31" s="56">
        <v>0</v>
      </c>
      <c r="AC31" s="55"/>
      <c r="AD31" s="56" t="s">
        <v>32</v>
      </c>
      <c r="AE31" s="56" t="s">
        <v>32</v>
      </c>
      <c r="AF31" s="62" t="s">
        <v>32</v>
      </c>
      <c r="AG31" s="5"/>
      <c r="AH31" s="57" t="str">
        <f t="shared" ref="AH31:AH33" si="5">A31</f>
        <v>Meio Oficial</v>
      </c>
      <c r="AI31" s="68">
        <f>SUM(B31:AF31)</f>
        <v>12.5</v>
      </c>
    </row>
    <row r="32" spans="1:35" ht="15" customHeight="1">
      <c r="A32" s="61" t="s">
        <v>7</v>
      </c>
      <c r="B32" s="55"/>
      <c r="C32" s="73">
        <v>3</v>
      </c>
      <c r="D32" s="73">
        <v>3</v>
      </c>
      <c r="E32" s="73">
        <v>1</v>
      </c>
      <c r="F32" s="65">
        <v>2</v>
      </c>
      <c r="G32" s="56">
        <v>3</v>
      </c>
      <c r="H32" s="55"/>
      <c r="I32" s="55"/>
      <c r="J32" s="56">
        <v>3</v>
      </c>
      <c r="K32" s="73">
        <v>2</v>
      </c>
      <c r="L32" s="73">
        <v>0</v>
      </c>
      <c r="M32" s="56">
        <v>0</v>
      </c>
      <c r="N32" s="56">
        <v>0</v>
      </c>
      <c r="O32" s="55"/>
      <c r="P32" s="55"/>
      <c r="Q32" s="56">
        <v>0</v>
      </c>
      <c r="R32" s="56">
        <v>0</v>
      </c>
      <c r="S32" s="56">
        <v>0</v>
      </c>
      <c r="T32" s="56">
        <v>0</v>
      </c>
      <c r="U32" s="56">
        <v>0</v>
      </c>
      <c r="V32" s="55"/>
      <c r="W32" s="55"/>
      <c r="X32" s="56">
        <v>0</v>
      </c>
      <c r="Y32" s="56">
        <v>0</v>
      </c>
      <c r="Z32" s="56">
        <v>0</v>
      </c>
      <c r="AA32" s="56">
        <v>0</v>
      </c>
      <c r="AB32" s="56">
        <v>0</v>
      </c>
      <c r="AC32" s="55"/>
      <c r="AD32" s="56" t="s">
        <v>32</v>
      </c>
      <c r="AE32" s="56" t="s">
        <v>32</v>
      </c>
      <c r="AF32" s="62" t="s">
        <v>32</v>
      </c>
      <c r="AG32" s="5"/>
      <c r="AH32" s="57" t="str">
        <f t="shared" si="5"/>
        <v>Servente</v>
      </c>
      <c r="AI32" s="68">
        <f>SUM(B32:AF32)</f>
        <v>17</v>
      </c>
    </row>
    <row r="33" spans="1:35" ht="15" customHeight="1">
      <c r="A33" s="63" t="s">
        <v>14</v>
      </c>
      <c r="B33" s="64"/>
      <c r="C33" s="74" t="s">
        <v>8</v>
      </c>
      <c r="D33" s="74" t="s">
        <v>8</v>
      </c>
      <c r="E33" s="74" t="s">
        <v>8</v>
      </c>
      <c r="F33" s="65" t="s">
        <v>8</v>
      </c>
      <c r="G33" s="65"/>
      <c r="H33" s="64"/>
      <c r="I33" s="64"/>
      <c r="J33" s="65"/>
      <c r="K33" s="74"/>
      <c r="L33" s="74"/>
      <c r="M33" s="65"/>
      <c r="N33" s="65"/>
      <c r="O33" s="64"/>
      <c r="P33" s="64"/>
      <c r="Q33" s="65"/>
      <c r="R33" s="74"/>
      <c r="S33" s="74"/>
      <c r="T33" s="65"/>
      <c r="U33" s="65"/>
      <c r="V33" s="64"/>
      <c r="W33" s="64"/>
      <c r="X33" s="65"/>
      <c r="Y33" s="74"/>
      <c r="Z33" s="74"/>
      <c r="AA33" s="65"/>
      <c r="AB33" s="65"/>
      <c r="AC33" s="64"/>
      <c r="AD33" s="65" t="s">
        <v>32</v>
      </c>
      <c r="AE33" s="65" t="s">
        <v>32</v>
      </c>
      <c r="AF33" s="66" t="s">
        <v>32</v>
      </c>
      <c r="AG33" s="5"/>
      <c r="AH33" s="57" t="str">
        <f t="shared" si="5"/>
        <v>Encarregado</v>
      </c>
      <c r="AI33" s="69">
        <f>SUM(B33:AF33)</f>
        <v>0</v>
      </c>
    </row>
    <row r="34" spans="1:35"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17"/>
    </row>
    <row r="35" spans="1:35">
      <c r="A35" s="110" t="s">
        <v>22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08"/>
      <c r="AH35" s="111"/>
      <c r="AI35" s="112"/>
    </row>
    <row r="36" spans="1:35" ht="15" customHeight="1">
      <c r="A36" s="57" t="s">
        <v>23</v>
      </c>
      <c r="B36" s="58"/>
      <c r="C36" s="72">
        <v>1</v>
      </c>
      <c r="D36" s="72">
        <v>1</v>
      </c>
      <c r="E36" s="72">
        <v>1</v>
      </c>
      <c r="F36" s="59">
        <v>1</v>
      </c>
      <c r="G36" s="59">
        <v>1</v>
      </c>
      <c r="H36" s="58"/>
      <c r="I36" s="58"/>
      <c r="J36" s="59">
        <v>1</v>
      </c>
      <c r="K36" s="72">
        <v>1</v>
      </c>
      <c r="L36" s="72">
        <v>1</v>
      </c>
      <c r="M36" s="59">
        <v>1</v>
      </c>
      <c r="N36" s="59"/>
      <c r="O36" s="58"/>
      <c r="P36" s="58"/>
      <c r="Q36" s="91">
        <v>0</v>
      </c>
      <c r="R36" s="91">
        <v>0</v>
      </c>
      <c r="S36" s="91">
        <v>0</v>
      </c>
      <c r="T36" s="59">
        <v>1</v>
      </c>
      <c r="U36" s="59">
        <v>1</v>
      </c>
      <c r="V36" s="58"/>
      <c r="W36" s="58"/>
      <c r="X36" s="59">
        <v>1</v>
      </c>
      <c r="Y36" s="72">
        <v>1</v>
      </c>
      <c r="Z36" s="72">
        <v>2</v>
      </c>
      <c r="AA36" s="59"/>
      <c r="AB36" s="59"/>
      <c r="AC36" s="58"/>
      <c r="AD36" s="59" t="s">
        <v>32</v>
      </c>
      <c r="AE36" s="59" t="s">
        <v>32</v>
      </c>
      <c r="AF36" s="60" t="s">
        <v>32</v>
      </c>
      <c r="AG36" s="5"/>
      <c r="AH36" s="75" t="str">
        <f>A36</f>
        <v>Impermeabilizador</v>
      </c>
      <c r="AI36" s="67">
        <f>SUM(B36:AF36)</f>
        <v>15</v>
      </c>
    </row>
    <row r="37" spans="1:35">
      <c r="A37" s="63" t="s">
        <v>7</v>
      </c>
      <c r="B37" s="64"/>
      <c r="C37" s="74">
        <v>1</v>
      </c>
      <c r="D37" s="74">
        <v>1</v>
      </c>
      <c r="E37" s="74">
        <v>1</v>
      </c>
      <c r="F37" s="65">
        <v>1</v>
      </c>
      <c r="G37" s="65">
        <v>1</v>
      </c>
      <c r="H37" s="64"/>
      <c r="I37" s="64"/>
      <c r="J37" s="65">
        <v>1</v>
      </c>
      <c r="K37" s="74" t="s">
        <v>8</v>
      </c>
      <c r="L37" s="74">
        <v>0</v>
      </c>
      <c r="M37" s="65">
        <v>0</v>
      </c>
      <c r="N37" s="65"/>
      <c r="O37" s="64"/>
      <c r="P37" s="64"/>
      <c r="Q37" s="65"/>
      <c r="R37" s="74"/>
      <c r="S37" s="74"/>
      <c r="T37" s="65"/>
      <c r="U37" s="65"/>
      <c r="V37" s="64"/>
      <c r="W37" s="64"/>
      <c r="X37" s="65"/>
      <c r="Y37" s="74"/>
      <c r="Z37" s="74"/>
      <c r="AA37" s="65"/>
      <c r="AB37" s="65"/>
      <c r="AC37" s="64"/>
      <c r="AD37" s="65" t="s">
        <v>32</v>
      </c>
      <c r="AE37" s="65" t="s">
        <v>32</v>
      </c>
      <c r="AF37" s="66" t="s">
        <v>32</v>
      </c>
      <c r="AG37" s="5"/>
      <c r="AH37" s="76" t="str">
        <f>A37</f>
        <v>Servente</v>
      </c>
      <c r="AI37" s="69">
        <f>SUM(B37:AF37)</f>
        <v>6</v>
      </c>
    </row>
    <row r="39" spans="1:35">
      <c r="A39" s="107" t="s">
        <v>24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9"/>
    </row>
    <row r="40" spans="1:35">
      <c r="A40" s="86" t="s">
        <v>25</v>
      </c>
      <c r="B40" s="15"/>
      <c r="C40" s="9">
        <v>3</v>
      </c>
      <c r="D40" s="9">
        <v>4</v>
      </c>
      <c r="E40" s="9">
        <v>5</v>
      </c>
      <c r="F40" s="44">
        <v>3</v>
      </c>
      <c r="G40" s="44">
        <v>3</v>
      </c>
      <c r="H40" s="15"/>
      <c r="I40" s="15"/>
      <c r="J40" s="44" t="s">
        <v>8</v>
      </c>
      <c r="K40" s="9">
        <v>4</v>
      </c>
      <c r="L40" s="9">
        <v>3</v>
      </c>
      <c r="M40" s="44">
        <v>2</v>
      </c>
      <c r="N40" s="44">
        <v>3</v>
      </c>
      <c r="O40" s="15"/>
      <c r="P40" s="15"/>
      <c r="Q40" s="91">
        <v>0</v>
      </c>
      <c r="R40" s="91">
        <v>0</v>
      </c>
      <c r="S40" s="91">
        <v>0</v>
      </c>
      <c r="T40" s="44">
        <v>2</v>
      </c>
      <c r="U40" s="44">
        <v>2</v>
      </c>
      <c r="V40" s="15"/>
      <c r="W40" s="15"/>
      <c r="X40" s="44">
        <v>2</v>
      </c>
      <c r="Y40" s="9">
        <v>2</v>
      </c>
      <c r="Z40" s="9">
        <v>0</v>
      </c>
      <c r="AA40" s="44"/>
      <c r="AB40" s="44"/>
      <c r="AC40" s="15"/>
      <c r="AD40" s="44" t="s">
        <v>32</v>
      </c>
      <c r="AE40" s="44" t="s">
        <v>32</v>
      </c>
      <c r="AF40" s="47" t="s">
        <v>32</v>
      </c>
      <c r="AG40" s="5"/>
      <c r="AH40" s="14" t="str">
        <f>A40</f>
        <v>Bombeiro</v>
      </c>
      <c r="AI40" s="87">
        <f>SUM(B40:AF40)</f>
        <v>38</v>
      </c>
    </row>
    <row r="42" spans="1:35">
      <c r="A42" s="107" t="s">
        <v>34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9"/>
    </row>
    <row r="43" spans="1:35">
      <c r="A43" s="77" t="s">
        <v>27</v>
      </c>
      <c r="B43" s="78"/>
      <c r="C43" s="79">
        <v>2</v>
      </c>
      <c r="D43" s="79">
        <v>2</v>
      </c>
      <c r="E43" s="79">
        <v>2</v>
      </c>
      <c r="F43" s="80">
        <v>2</v>
      </c>
      <c r="G43" s="80"/>
      <c r="H43" s="78"/>
      <c r="I43" s="78"/>
      <c r="J43" s="80">
        <v>2</v>
      </c>
      <c r="K43" s="79">
        <v>3</v>
      </c>
      <c r="L43" s="79">
        <v>2</v>
      </c>
      <c r="M43" s="80">
        <v>0</v>
      </c>
      <c r="N43" s="79">
        <v>2</v>
      </c>
      <c r="O43" s="78"/>
      <c r="P43" s="78"/>
      <c r="Q43" s="91">
        <v>0</v>
      </c>
      <c r="R43" s="91">
        <v>0</v>
      </c>
      <c r="S43" s="91">
        <v>0</v>
      </c>
      <c r="T43" s="80">
        <v>2</v>
      </c>
      <c r="U43" s="79">
        <v>2</v>
      </c>
      <c r="V43" s="78"/>
      <c r="W43" s="78"/>
      <c r="X43" s="80">
        <v>2</v>
      </c>
      <c r="Y43" s="79">
        <v>0</v>
      </c>
      <c r="Z43" s="79">
        <v>0</v>
      </c>
      <c r="AA43" s="80"/>
      <c r="AB43" s="80"/>
      <c r="AC43" s="78"/>
      <c r="AD43" s="80" t="s">
        <v>32</v>
      </c>
      <c r="AE43" s="80" t="s">
        <v>32</v>
      </c>
      <c r="AF43" s="81" t="s">
        <v>32</v>
      </c>
      <c r="AG43" s="5"/>
      <c r="AH43" s="82" t="str">
        <f>A43</f>
        <v>Serralheiro</v>
      </c>
      <c r="AI43" s="83">
        <f>SUM(B43:AF43)</f>
        <v>23</v>
      </c>
    </row>
    <row r="45" spans="1:35">
      <c r="A45" s="110" t="s">
        <v>28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08"/>
      <c r="AH45" s="111"/>
      <c r="AI45" s="112"/>
    </row>
    <row r="46" spans="1:35" ht="15" customHeight="1">
      <c r="A46" s="57" t="s">
        <v>10</v>
      </c>
      <c r="B46" s="58"/>
      <c r="C46" s="72"/>
      <c r="D46" s="72"/>
      <c r="E46" s="72"/>
      <c r="F46" s="59"/>
      <c r="G46" s="59"/>
      <c r="H46" s="58"/>
      <c r="I46" s="58"/>
      <c r="J46" s="59"/>
      <c r="K46" s="72"/>
      <c r="L46" s="72"/>
      <c r="M46" s="59"/>
      <c r="N46" s="59"/>
      <c r="O46" s="58"/>
      <c r="P46" s="58"/>
      <c r="Q46" s="59"/>
      <c r="R46" s="72"/>
      <c r="S46" s="72"/>
      <c r="T46" s="59"/>
      <c r="U46" s="59"/>
      <c r="V46" s="58"/>
      <c r="W46" s="58"/>
      <c r="X46" s="59"/>
      <c r="Y46" s="72"/>
      <c r="Z46" s="72"/>
      <c r="AA46" s="59"/>
      <c r="AB46" s="59"/>
      <c r="AC46" s="58"/>
      <c r="AD46" s="59" t="s">
        <v>32</v>
      </c>
      <c r="AE46" s="59" t="s">
        <v>32</v>
      </c>
      <c r="AF46" s="60" t="s">
        <v>32</v>
      </c>
      <c r="AG46" s="5"/>
      <c r="AH46" s="75" t="str">
        <f>A46</f>
        <v>Pedreiro</v>
      </c>
      <c r="AI46" s="67">
        <f>SUM(B46:AF46)</f>
        <v>0</v>
      </c>
    </row>
    <row r="47" spans="1:35">
      <c r="A47" s="63" t="s">
        <v>7</v>
      </c>
      <c r="B47" s="64"/>
      <c r="C47" s="74"/>
      <c r="D47" s="74"/>
      <c r="E47" s="74"/>
      <c r="F47" s="65"/>
      <c r="G47" s="65"/>
      <c r="H47" s="64"/>
      <c r="I47" s="64"/>
      <c r="J47" s="65"/>
      <c r="K47" s="74"/>
      <c r="L47" s="74"/>
      <c r="M47" s="65"/>
      <c r="N47" s="65"/>
      <c r="O47" s="64"/>
      <c r="P47" s="64"/>
      <c r="Q47" s="65"/>
      <c r="R47" s="74"/>
      <c r="S47" s="74"/>
      <c r="T47" s="65"/>
      <c r="U47" s="65"/>
      <c r="V47" s="64"/>
      <c r="W47" s="64"/>
      <c r="X47" s="65"/>
      <c r="Y47" s="74"/>
      <c r="Z47" s="74"/>
      <c r="AA47" s="65"/>
      <c r="AB47" s="65"/>
      <c r="AC47" s="64"/>
      <c r="AD47" s="65" t="s">
        <v>32</v>
      </c>
      <c r="AE47" s="65" t="s">
        <v>32</v>
      </c>
      <c r="AF47" s="66" t="s">
        <v>32</v>
      </c>
      <c r="AG47" s="5"/>
      <c r="AH47" s="76" t="str">
        <f>A47</f>
        <v>Servente</v>
      </c>
      <c r="AI47" s="69">
        <f>SUM(B47:AF47)</f>
        <v>0</v>
      </c>
    </row>
    <row r="49" spans="1:35">
      <c r="A49" s="110" t="s">
        <v>29</v>
      </c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08"/>
      <c r="AH49" s="111"/>
      <c r="AI49" s="112"/>
    </row>
    <row r="50" spans="1:35">
      <c r="A50" s="61" t="s">
        <v>30</v>
      </c>
      <c r="B50" s="55"/>
      <c r="C50" s="73">
        <v>5</v>
      </c>
      <c r="D50" s="73">
        <v>4</v>
      </c>
      <c r="E50" s="73">
        <v>4</v>
      </c>
      <c r="F50" s="56">
        <v>4</v>
      </c>
      <c r="G50" s="56">
        <v>4</v>
      </c>
      <c r="H50" s="55"/>
      <c r="I50" s="55"/>
      <c r="J50" s="56">
        <v>5</v>
      </c>
      <c r="K50" s="73">
        <v>4</v>
      </c>
      <c r="L50" s="73">
        <v>0</v>
      </c>
      <c r="M50" s="56">
        <v>0</v>
      </c>
      <c r="N50" s="91">
        <v>0</v>
      </c>
      <c r="O50" s="55"/>
      <c r="P50" s="55"/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55"/>
      <c r="W50" s="55"/>
      <c r="X50" s="91">
        <v>0</v>
      </c>
      <c r="Y50" s="91">
        <v>0</v>
      </c>
      <c r="Z50" s="91">
        <v>0</v>
      </c>
      <c r="AA50" s="91">
        <v>0</v>
      </c>
      <c r="AB50" s="91">
        <v>1</v>
      </c>
      <c r="AC50" s="55"/>
      <c r="AD50" s="56" t="s">
        <v>32</v>
      </c>
      <c r="AE50" s="56" t="s">
        <v>32</v>
      </c>
      <c r="AF50" s="62" t="s">
        <v>32</v>
      </c>
      <c r="AG50" s="5"/>
      <c r="AH50" s="84" t="str">
        <f t="shared" ref="AH50:AH51" si="6">A50</f>
        <v>Eletricista</v>
      </c>
      <c r="AI50" s="68">
        <f>SUM(B50:AF50)</f>
        <v>31</v>
      </c>
    </row>
    <row r="51" spans="1:35">
      <c r="A51" s="63" t="s">
        <v>7</v>
      </c>
      <c r="B51" s="64"/>
      <c r="C51" s="74"/>
      <c r="D51" s="74"/>
      <c r="E51" s="74"/>
      <c r="F51" s="65"/>
      <c r="G51" s="65"/>
      <c r="H51" s="64"/>
      <c r="I51" s="64"/>
      <c r="J51" s="65"/>
      <c r="K51" s="74"/>
      <c r="L51" s="74"/>
      <c r="M51" s="65"/>
      <c r="N51" s="65"/>
      <c r="O51" s="64"/>
      <c r="P51" s="64"/>
      <c r="Q51" s="65"/>
      <c r="R51" s="74"/>
      <c r="S51" s="74"/>
      <c r="T51" s="65"/>
      <c r="U51" s="65"/>
      <c r="V51" s="64"/>
      <c r="W51" s="64"/>
      <c r="X51" s="65"/>
      <c r="Y51" s="74"/>
      <c r="Z51" s="74"/>
      <c r="AA51" s="65"/>
      <c r="AB51" s="65">
        <v>1</v>
      </c>
      <c r="AC51" s="64"/>
      <c r="AD51" s="65" t="s">
        <v>32</v>
      </c>
      <c r="AE51" s="65" t="s">
        <v>32</v>
      </c>
      <c r="AF51" s="66" t="s">
        <v>32</v>
      </c>
      <c r="AG51" s="5"/>
      <c r="AH51" s="76" t="str">
        <f t="shared" si="6"/>
        <v>Servente</v>
      </c>
      <c r="AI51" s="69">
        <f t="shared" ref="AI51" si="7">SUM(B51:AF51)</f>
        <v>1</v>
      </c>
    </row>
  </sheetData>
  <mergeCells count="10">
    <mergeCell ref="A39:AI39"/>
    <mergeCell ref="A42:AI42"/>
    <mergeCell ref="A45:AI45"/>
    <mergeCell ref="A49:AI49"/>
    <mergeCell ref="B1:AG2"/>
    <mergeCell ref="A6:AI6"/>
    <mergeCell ref="A15:AI15"/>
    <mergeCell ref="A22:AI22"/>
    <mergeCell ref="A29:AI29"/>
    <mergeCell ref="A35:AI35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451C-7BD3-4129-BB36-881E8006BD2F}">
  <sheetPr>
    <tabColor rgb="FFC00000"/>
  </sheetPr>
  <dimension ref="A1:H310"/>
  <sheetViews>
    <sheetView showGridLines="0" zoomScale="55" zoomScaleNormal="55" workbookViewId="0">
      <pane xSplit="1" ySplit="1" topLeftCell="B2" activePane="bottomRight" state="frozen"/>
      <selection pane="bottomRight" activeCell="F12" sqref="F12"/>
      <selection pane="bottomLeft"/>
      <selection pane="topRight"/>
    </sheetView>
  </sheetViews>
  <sheetFormatPr defaultRowHeight="15"/>
  <cols>
    <col min="1" max="1" width="17.7109375" style="2" customWidth="1"/>
    <col min="2" max="2" width="109.42578125" style="2" bestFit="1" customWidth="1"/>
    <col min="3" max="3" width="1" style="2" customWidth="1"/>
    <col min="4" max="4" width="58.28515625" style="2" customWidth="1"/>
    <col min="5" max="5" width="2.140625" style="2" customWidth="1"/>
    <col min="6" max="6" width="109.42578125" style="2" bestFit="1" customWidth="1"/>
    <col min="7" max="7" width="1.42578125" style="2" customWidth="1"/>
    <col min="8" max="8" width="198.7109375" style="2" bestFit="1" customWidth="1"/>
    <col min="9" max="16384" width="9.140625" style="2"/>
  </cols>
  <sheetData>
    <row r="1" spans="1:8">
      <c r="A1" s="22" t="s">
        <v>35</v>
      </c>
      <c r="B1" s="22" t="s">
        <v>36</v>
      </c>
      <c r="D1" s="22" t="s">
        <v>37</v>
      </c>
      <c r="F1" s="22" t="s">
        <v>38</v>
      </c>
      <c r="H1" s="22" t="s">
        <v>39</v>
      </c>
    </row>
    <row r="2" spans="1:8" ht="18.75">
      <c r="A2" s="23" t="s">
        <v>37</v>
      </c>
      <c r="B2" s="23" t="s">
        <v>40</v>
      </c>
      <c r="D2" s="23" t="s">
        <v>41</v>
      </c>
      <c r="F2" s="24" t="s">
        <v>42</v>
      </c>
      <c r="H2" s="2" t="s">
        <v>43</v>
      </c>
    </row>
    <row r="3" spans="1:8" ht="18.75">
      <c r="A3" s="24" t="s">
        <v>38</v>
      </c>
      <c r="B3" s="24" t="s">
        <v>44</v>
      </c>
      <c r="D3" s="23" t="s">
        <v>45</v>
      </c>
      <c r="F3" s="24" t="s">
        <v>46</v>
      </c>
      <c r="H3" s="2" t="s">
        <v>42</v>
      </c>
    </row>
    <row r="4" spans="1:8" ht="18.75">
      <c r="A4" s="24" t="s">
        <v>38</v>
      </c>
      <c r="B4" s="24" t="s">
        <v>47</v>
      </c>
      <c r="D4" s="23" t="s">
        <v>48</v>
      </c>
      <c r="F4" s="24" t="s">
        <v>49</v>
      </c>
      <c r="H4" s="2" t="s">
        <v>46</v>
      </c>
    </row>
    <row r="5" spans="1:8" ht="18.75">
      <c r="A5" s="24" t="s">
        <v>38</v>
      </c>
      <c r="B5" s="24" t="s">
        <v>50</v>
      </c>
      <c r="D5" s="23" t="s">
        <v>51</v>
      </c>
      <c r="F5" s="24" t="s">
        <v>52</v>
      </c>
      <c r="H5" s="2" t="s">
        <v>49</v>
      </c>
    </row>
    <row r="6" spans="1:8" ht="18.75">
      <c r="A6" s="24" t="s">
        <v>38</v>
      </c>
      <c r="B6" s="24" t="s">
        <v>53</v>
      </c>
      <c r="D6" s="23" t="s">
        <v>54</v>
      </c>
      <c r="F6" s="24" t="s">
        <v>55</v>
      </c>
      <c r="H6" s="2" t="s">
        <v>56</v>
      </c>
    </row>
    <row r="7" spans="1:8" ht="18.75">
      <c r="A7" s="23" t="s">
        <v>37</v>
      </c>
      <c r="B7" s="23" t="s">
        <v>57</v>
      </c>
      <c r="D7" s="23" t="s">
        <v>58</v>
      </c>
      <c r="F7" s="24" t="s">
        <v>59</v>
      </c>
      <c r="H7" s="2" t="s">
        <v>60</v>
      </c>
    </row>
    <row r="8" spans="1:8" ht="18.75">
      <c r="A8" s="24" t="s">
        <v>38</v>
      </c>
      <c r="B8" s="24" t="s">
        <v>61</v>
      </c>
      <c r="D8" s="23" t="s">
        <v>62</v>
      </c>
      <c r="F8" s="24" t="s">
        <v>63</v>
      </c>
      <c r="H8" s="2" t="s">
        <v>64</v>
      </c>
    </row>
    <row r="9" spans="1:8" ht="18.75">
      <c r="A9" s="24" t="s">
        <v>38</v>
      </c>
      <c r="B9" s="24" t="s">
        <v>65</v>
      </c>
      <c r="D9" s="23" t="s">
        <v>66</v>
      </c>
      <c r="F9" s="24" t="s">
        <v>67</v>
      </c>
      <c r="H9" s="2" t="s">
        <v>68</v>
      </c>
    </row>
    <row r="10" spans="1:8" ht="18.75">
      <c r="A10" s="24" t="s">
        <v>38</v>
      </c>
      <c r="B10" s="24" t="s">
        <v>69</v>
      </c>
      <c r="D10" s="23" t="s">
        <v>70</v>
      </c>
      <c r="F10" s="24" t="s">
        <v>71</v>
      </c>
      <c r="H10" s="2" t="s">
        <v>72</v>
      </c>
    </row>
    <row r="11" spans="1:8" ht="37.5">
      <c r="A11" s="24" t="s">
        <v>38</v>
      </c>
      <c r="B11" s="24" t="s">
        <v>73</v>
      </c>
      <c r="D11" s="23" t="s">
        <v>74</v>
      </c>
      <c r="F11" s="24" t="s">
        <v>75</v>
      </c>
      <c r="H11" s="2" t="s">
        <v>76</v>
      </c>
    </row>
    <row r="12" spans="1:8" ht="18.75">
      <c r="A12" s="24" t="s">
        <v>38</v>
      </c>
      <c r="B12" s="24" t="s">
        <v>77</v>
      </c>
      <c r="D12" s="23" t="s">
        <v>78</v>
      </c>
      <c r="F12" s="24" t="s">
        <v>79</v>
      </c>
      <c r="H12" s="2" t="s">
        <v>80</v>
      </c>
    </row>
    <row r="13" spans="1:8" ht="18.75">
      <c r="A13" s="24" t="s">
        <v>38</v>
      </c>
      <c r="B13" s="24" t="s">
        <v>81</v>
      </c>
      <c r="D13" s="23" t="s">
        <v>82</v>
      </c>
      <c r="F13" s="24" t="s">
        <v>83</v>
      </c>
      <c r="H13" s="2" t="s">
        <v>84</v>
      </c>
    </row>
    <row r="14" spans="1:8" ht="18.75">
      <c r="A14" s="24" t="s">
        <v>38</v>
      </c>
      <c r="B14" s="24" t="s">
        <v>85</v>
      </c>
      <c r="D14" s="23" t="s">
        <v>86</v>
      </c>
      <c r="F14" s="24" t="s">
        <v>87</v>
      </c>
      <c r="H14" s="2" t="s">
        <v>88</v>
      </c>
    </row>
    <row r="15" spans="1:8" ht="18.75">
      <c r="A15" s="24" t="s">
        <v>38</v>
      </c>
      <c r="B15" s="24" t="s">
        <v>89</v>
      </c>
      <c r="D15" s="23" t="s">
        <v>90</v>
      </c>
      <c r="F15" s="25" t="s">
        <v>91</v>
      </c>
      <c r="H15" s="2" t="s">
        <v>92</v>
      </c>
    </row>
    <row r="16" spans="1:8" ht="37.5">
      <c r="A16" s="24" t="s">
        <v>38</v>
      </c>
      <c r="B16" s="24" t="s">
        <v>93</v>
      </c>
      <c r="D16" s="23" t="s">
        <v>94</v>
      </c>
      <c r="F16" s="25" t="s">
        <v>95</v>
      </c>
      <c r="H16" s="2" t="s">
        <v>96</v>
      </c>
    </row>
    <row r="17" spans="1:8" ht="18.75">
      <c r="A17" s="23" t="s">
        <v>37</v>
      </c>
      <c r="B17" s="23" t="s">
        <v>97</v>
      </c>
      <c r="D17" s="23" t="s">
        <v>98</v>
      </c>
      <c r="F17" s="24" t="s">
        <v>99</v>
      </c>
      <c r="H17" s="2" t="s">
        <v>100</v>
      </c>
    </row>
    <row r="18" spans="1:8" ht="18.75">
      <c r="A18" s="24" t="s">
        <v>38</v>
      </c>
      <c r="B18" s="25" t="s">
        <v>101</v>
      </c>
      <c r="D18" s="23" t="s">
        <v>102</v>
      </c>
      <c r="F18" s="25" t="s">
        <v>103</v>
      </c>
      <c r="H18" s="2" t="s">
        <v>104</v>
      </c>
    </row>
    <row r="19" spans="1:8" ht="18.75">
      <c r="A19" s="24" t="s">
        <v>38</v>
      </c>
      <c r="B19" s="25" t="s">
        <v>105</v>
      </c>
      <c r="D19" s="23" t="s">
        <v>106</v>
      </c>
      <c r="F19" s="25" t="s">
        <v>107</v>
      </c>
      <c r="H19" s="2" t="s">
        <v>108</v>
      </c>
    </row>
    <row r="20" spans="1:8" ht="18.75">
      <c r="A20" s="24" t="s">
        <v>38</v>
      </c>
      <c r="B20" s="24" t="s">
        <v>109</v>
      </c>
      <c r="D20" s="23" t="s">
        <v>110</v>
      </c>
      <c r="F20" s="25" t="s">
        <v>111</v>
      </c>
      <c r="H20" s="2" t="s">
        <v>71</v>
      </c>
    </row>
    <row r="21" spans="1:8" ht="18.75">
      <c r="A21" s="23" t="s">
        <v>37</v>
      </c>
      <c r="B21" s="23" t="s">
        <v>112</v>
      </c>
      <c r="D21" s="23" t="s">
        <v>113</v>
      </c>
      <c r="F21" s="25" t="s">
        <v>114</v>
      </c>
      <c r="H21" s="2" t="s">
        <v>115</v>
      </c>
    </row>
    <row r="22" spans="1:8" ht="18.75">
      <c r="A22" s="24" t="s">
        <v>38</v>
      </c>
      <c r="B22" s="25" t="s">
        <v>116</v>
      </c>
      <c r="D22" s="23" t="s">
        <v>117</v>
      </c>
      <c r="F22" s="25" t="s">
        <v>118</v>
      </c>
      <c r="H22" s="2" t="s">
        <v>119</v>
      </c>
    </row>
    <row r="23" spans="1:8" ht="18.75">
      <c r="A23" s="23" t="s">
        <v>37</v>
      </c>
      <c r="B23" s="23" t="s">
        <v>120</v>
      </c>
      <c r="D23" s="23" t="s">
        <v>121</v>
      </c>
      <c r="F23" s="25" t="s">
        <v>122</v>
      </c>
      <c r="H23" s="2" t="s">
        <v>123</v>
      </c>
    </row>
    <row r="24" spans="1:8" ht="18.75">
      <c r="A24" s="24" t="s">
        <v>38</v>
      </c>
      <c r="B24" s="25" t="s">
        <v>124</v>
      </c>
      <c r="D24" s="23" t="s">
        <v>125</v>
      </c>
      <c r="F24" s="25" t="s">
        <v>126</v>
      </c>
      <c r="H24" s="2" t="s">
        <v>127</v>
      </c>
    </row>
    <row r="25" spans="1:8" ht="18.75">
      <c r="A25" s="24" t="s">
        <v>38</v>
      </c>
      <c r="B25" s="25" t="s">
        <v>128</v>
      </c>
      <c r="D25" s="23" t="s">
        <v>129</v>
      </c>
      <c r="F25" s="25" t="s">
        <v>130</v>
      </c>
      <c r="H25" s="2" t="s">
        <v>131</v>
      </c>
    </row>
    <row r="26" spans="1:8" ht="18.75">
      <c r="A26" s="24" t="s">
        <v>38</v>
      </c>
      <c r="B26" s="25" t="s">
        <v>132</v>
      </c>
      <c r="D26" s="23" t="s">
        <v>133</v>
      </c>
      <c r="F26" s="25" t="s">
        <v>134</v>
      </c>
      <c r="H26" s="2" t="s">
        <v>135</v>
      </c>
    </row>
    <row r="27" spans="1:8" ht="18.75">
      <c r="A27" s="24" t="s">
        <v>38</v>
      </c>
      <c r="B27" s="25" t="s">
        <v>136</v>
      </c>
      <c r="D27" s="23" t="s">
        <v>137</v>
      </c>
      <c r="F27" s="25" t="s">
        <v>138</v>
      </c>
      <c r="H27" s="2" t="s">
        <v>83</v>
      </c>
    </row>
    <row r="28" spans="1:8" ht="18.75">
      <c r="A28" s="24" t="s">
        <v>38</v>
      </c>
      <c r="B28" s="25" t="s">
        <v>139</v>
      </c>
      <c r="D28" s="23" t="s">
        <v>140</v>
      </c>
      <c r="F28" s="25" t="s">
        <v>141</v>
      </c>
      <c r="H28" s="2" t="s">
        <v>142</v>
      </c>
    </row>
    <row r="29" spans="1:8" ht="18.75">
      <c r="A29" s="24" t="s">
        <v>38</v>
      </c>
      <c r="B29" s="25" t="s">
        <v>143</v>
      </c>
      <c r="D29" s="23" t="s">
        <v>144</v>
      </c>
      <c r="F29" s="25" t="s">
        <v>145</v>
      </c>
      <c r="H29" s="2" t="s">
        <v>91</v>
      </c>
    </row>
    <row r="30" spans="1:8" ht="18.75">
      <c r="A30" s="24" t="s">
        <v>38</v>
      </c>
      <c r="B30" s="25" t="s">
        <v>146</v>
      </c>
      <c r="D30" s="23" t="s">
        <v>147</v>
      </c>
      <c r="F30" s="25" t="s">
        <v>148</v>
      </c>
      <c r="H30" s="2" t="s">
        <v>149</v>
      </c>
    </row>
    <row r="31" spans="1:8" ht="18.75">
      <c r="A31" s="24" t="s">
        <v>38</v>
      </c>
      <c r="B31" s="25" t="s">
        <v>150</v>
      </c>
      <c r="D31" s="23" t="s">
        <v>151</v>
      </c>
      <c r="F31" s="25" t="s">
        <v>152</v>
      </c>
      <c r="H31" s="2" t="s">
        <v>153</v>
      </c>
    </row>
    <row r="32" spans="1:8" ht="18.75">
      <c r="A32" s="24" t="s">
        <v>38</v>
      </c>
      <c r="B32" s="25" t="s">
        <v>154</v>
      </c>
      <c r="D32" s="23" t="s">
        <v>155</v>
      </c>
      <c r="F32" s="25" t="s">
        <v>156</v>
      </c>
      <c r="H32" s="2" t="s">
        <v>157</v>
      </c>
    </row>
    <row r="33" spans="1:8" ht="18.75">
      <c r="A33" s="24" t="s">
        <v>38</v>
      </c>
      <c r="B33" s="25" t="s">
        <v>158</v>
      </c>
      <c r="D33" s="23" t="s">
        <v>159</v>
      </c>
      <c r="F33" s="25" t="s">
        <v>160</v>
      </c>
      <c r="H33" s="2" t="s">
        <v>161</v>
      </c>
    </row>
    <row r="34" spans="1:8" ht="18.75">
      <c r="A34" s="24" t="s">
        <v>38</v>
      </c>
      <c r="B34" s="25" t="s">
        <v>162</v>
      </c>
      <c r="D34" s="23" t="s">
        <v>163</v>
      </c>
      <c r="F34" s="25" t="s">
        <v>164</v>
      </c>
      <c r="H34" s="2" t="s">
        <v>122</v>
      </c>
    </row>
    <row r="35" spans="1:8" ht="18.75">
      <c r="A35" s="24" t="s">
        <v>38</v>
      </c>
      <c r="B35" s="25" t="s">
        <v>165</v>
      </c>
      <c r="D35" s="23" t="s">
        <v>166</v>
      </c>
      <c r="F35" s="25" t="s">
        <v>167</v>
      </c>
      <c r="H35" s="2" t="s">
        <v>126</v>
      </c>
    </row>
    <row r="36" spans="1:8" ht="18.75">
      <c r="A36" s="24" t="s">
        <v>38</v>
      </c>
      <c r="B36" s="25" t="s">
        <v>168</v>
      </c>
      <c r="D36" s="23" t="s">
        <v>169</v>
      </c>
      <c r="F36" s="25" t="s">
        <v>170</v>
      </c>
      <c r="H36" s="2" t="s">
        <v>171</v>
      </c>
    </row>
    <row r="37" spans="1:8" ht="18.75">
      <c r="A37" s="24" t="s">
        <v>38</v>
      </c>
      <c r="B37" s="25" t="s">
        <v>172</v>
      </c>
      <c r="F37" s="25" t="s">
        <v>173</v>
      </c>
      <c r="H37" s="2" t="s">
        <v>130</v>
      </c>
    </row>
    <row r="38" spans="1:8" ht="18.75">
      <c r="A38" s="24" t="s">
        <v>38</v>
      </c>
      <c r="B38" s="25" t="s">
        <v>174</v>
      </c>
      <c r="F38" s="25" t="s">
        <v>175</v>
      </c>
      <c r="H38" s="2" t="s">
        <v>176</v>
      </c>
    </row>
    <row r="39" spans="1:8" ht="18.75">
      <c r="A39" s="24" t="s">
        <v>38</v>
      </c>
      <c r="B39" s="25" t="s">
        <v>177</v>
      </c>
      <c r="F39" s="25" t="s">
        <v>178</v>
      </c>
      <c r="H39" s="2" t="s">
        <v>179</v>
      </c>
    </row>
    <row r="40" spans="1:8" ht="18.75">
      <c r="A40" s="24" t="s">
        <v>38</v>
      </c>
      <c r="B40" s="25" t="s">
        <v>180</v>
      </c>
      <c r="F40" s="25" t="s">
        <v>181</v>
      </c>
      <c r="H40" s="2" t="s">
        <v>182</v>
      </c>
    </row>
    <row r="41" spans="1:8" ht="18.75">
      <c r="A41" s="24" t="s">
        <v>38</v>
      </c>
      <c r="B41" s="25" t="s">
        <v>183</v>
      </c>
      <c r="F41" s="25" t="s">
        <v>184</v>
      </c>
      <c r="H41" s="2" t="s">
        <v>185</v>
      </c>
    </row>
    <row r="42" spans="1:8" ht="18.75">
      <c r="A42" s="24" t="s">
        <v>38</v>
      </c>
      <c r="B42" s="25" t="s">
        <v>186</v>
      </c>
      <c r="F42" s="25" t="s">
        <v>187</v>
      </c>
      <c r="H42" s="2" t="s">
        <v>188</v>
      </c>
    </row>
    <row r="43" spans="1:8" ht="18.75">
      <c r="A43" s="24" t="s">
        <v>38</v>
      </c>
      <c r="B43" s="25" t="s">
        <v>189</v>
      </c>
      <c r="F43" s="25" t="s">
        <v>190</v>
      </c>
      <c r="H43" s="2" t="s">
        <v>191</v>
      </c>
    </row>
    <row r="44" spans="1:8" ht="18.75">
      <c r="A44" s="24" t="s">
        <v>38</v>
      </c>
      <c r="B44" s="25" t="s">
        <v>192</v>
      </c>
      <c r="F44" s="25" t="s">
        <v>193</v>
      </c>
      <c r="H44" s="2" t="s">
        <v>194</v>
      </c>
    </row>
    <row r="45" spans="1:8" ht="18.75">
      <c r="A45" s="24" t="s">
        <v>38</v>
      </c>
      <c r="B45" s="25" t="s">
        <v>195</v>
      </c>
      <c r="F45" s="25" t="s">
        <v>196</v>
      </c>
      <c r="H45" s="2" t="s">
        <v>197</v>
      </c>
    </row>
    <row r="46" spans="1:8" ht="18.75">
      <c r="A46" s="24" t="s">
        <v>38</v>
      </c>
      <c r="B46" s="25" t="s">
        <v>198</v>
      </c>
      <c r="F46" s="25" t="s">
        <v>199</v>
      </c>
      <c r="H46" s="2" t="s">
        <v>200</v>
      </c>
    </row>
    <row r="47" spans="1:8" ht="18.75">
      <c r="A47" s="24" t="s">
        <v>38</v>
      </c>
      <c r="B47" s="25" t="s">
        <v>201</v>
      </c>
      <c r="F47" s="25" t="s">
        <v>202</v>
      </c>
      <c r="H47" s="2" t="s">
        <v>203</v>
      </c>
    </row>
    <row r="48" spans="1:8" ht="18.75">
      <c r="A48" s="24" t="s">
        <v>38</v>
      </c>
      <c r="B48" s="25" t="s">
        <v>204</v>
      </c>
      <c r="F48" s="25" t="s">
        <v>205</v>
      </c>
      <c r="H48" s="2" t="s">
        <v>206</v>
      </c>
    </row>
    <row r="49" spans="1:8" ht="18.75">
      <c r="A49" s="23" t="s">
        <v>37</v>
      </c>
      <c r="B49" s="23" t="s">
        <v>207</v>
      </c>
      <c r="F49" s="25" t="s">
        <v>208</v>
      </c>
      <c r="H49" s="2" t="s">
        <v>209</v>
      </c>
    </row>
    <row r="50" spans="1:8" ht="18.75">
      <c r="A50" s="24" t="s">
        <v>38</v>
      </c>
      <c r="B50" s="25" t="s">
        <v>124</v>
      </c>
      <c r="F50" s="25" t="s">
        <v>210</v>
      </c>
      <c r="H50" s="2" t="s">
        <v>211</v>
      </c>
    </row>
    <row r="51" spans="1:8" ht="18.75">
      <c r="A51" s="24" t="s">
        <v>38</v>
      </c>
      <c r="B51" s="25" t="s">
        <v>128</v>
      </c>
      <c r="F51" s="25" t="s">
        <v>212</v>
      </c>
      <c r="H51" s="2" t="s">
        <v>213</v>
      </c>
    </row>
    <row r="52" spans="1:8" ht="18.75">
      <c r="A52" s="24" t="s">
        <v>38</v>
      </c>
      <c r="B52" s="25" t="s">
        <v>214</v>
      </c>
      <c r="F52" s="25" t="s">
        <v>215</v>
      </c>
      <c r="H52" s="2" t="s">
        <v>216</v>
      </c>
    </row>
    <row r="53" spans="1:8" ht="18.75">
      <c r="A53" s="24" t="s">
        <v>38</v>
      </c>
      <c r="B53" s="25" t="s">
        <v>146</v>
      </c>
      <c r="F53" s="25" t="s">
        <v>217</v>
      </c>
      <c r="H53" s="2" t="s">
        <v>218</v>
      </c>
    </row>
    <row r="54" spans="1:8" ht="18.75">
      <c r="A54" s="24" t="s">
        <v>38</v>
      </c>
      <c r="B54" s="25" t="s">
        <v>183</v>
      </c>
      <c r="F54" s="25" t="s">
        <v>219</v>
      </c>
      <c r="H54" s="2" t="s">
        <v>220</v>
      </c>
    </row>
    <row r="55" spans="1:8" ht="18.75">
      <c r="A55" s="24" t="s">
        <v>38</v>
      </c>
      <c r="B55" s="25" t="s">
        <v>192</v>
      </c>
      <c r="F55" s="25" t="s">
        <v>221</v>
      </c>
      <c r="H55" s="2" t="s">
        <v>160</v>
      </c>
    </row>
    <row r="56" spans="1:8" ht="18.75">
      <c r="A56" s="24" t="s">
        <v>38</v>
      </c>
      <c r="B56" s="25" t="s">
        <v>222</v>
      </c>
      <c r="F56" s="25" t="s">
        <v>223</v>
      </c>
      <c r="H56" s="2" t="s">
        <v>164</v>
      </c>
    </row>
    <row r="57" spans="1:8" ht="18.75">
      <c r="A57" s="24" t="s">
        <v>38</v>
      </c>
      <c r="B57" s="25" t="s">
        <v>224</v>
      </c>
      <c r="F57" s="25" t="s">
        <v>225</v>
      </c>
      <c r="H57" s="2" t="s">
        <v>167</v>
      </c>
    </row>
    <row r="58" spans="1:8" ht="18.75">
      <c r="A58" s="23" t="s">
        <v>37</v>
      </c>
      <c r="B58" s="23" t="s">
        <v>226</v>
      </c>
      <c r="F58" s="25" t="s">
        <v>227</v>
      </c>
      <c r="H58" s="2" t="s">
        <v>228</v>
      </c>
    </row>
    <row r="59" spans="1:8" ht="18.75">
      <c r="A59" s="24" t="s">
        <v>38</v>
      </c>
      <c r="B59" s="25" t="s">
        <v>143</v>
      </c>
      <c r="F59" s="25" t="s">
        <v>229</v>
      </c>
      <c r="H59" s="2" t="s">
        <v>230</v>
      </c>
    </row>
    <row r="60" spans="1:8" ht="18.75">
      <c r="A60" s="24" t="s">
        <v>38</v>
      </c>
      <c r="B60" s="25" t="s">
        <v>154</v>
      </c>
      <c r="F60" s="25" t="s">
        <v>231</v>
      </c>
      <c r="H60" s="2" t="s">
        <v>232</v>
      </c>
    </row>
    <row r="61" spans="1:8" ht="18.75">
      <c r="A61" s="24" t="s">
        <v>38</v>
      </c>
      <c r="B61" s="25" t="s">
        <v>186</v>
      </c>
      <c r="F61" s="25" t="s">
        <v>233</v>
      </c>
      <c r="H61" s="2" t="s">
        <v>234</v>
      </c>
    </row>
    <row r="62" spans="1:8" ht="18.75">
      <c r="A62" s="24" t="s">
        <v>38</v>
      </c>
      <c r="B62" s="25" t="s">
        <v>189</v>
      </c>
      <c r="F62" s="25" t="s">
        <v>235</v>
      </c>
      <c r="H62" s="2" t="s">
        <v>236</v>
      </c>
    </row>
    <row r="63" spans="1:8" ht="18.75">
      <c r="A63" s="24" t="s">
        <v>38</v>
      </c>
      <c r="B63" s="25" t="s">
        <v>237</v>
      </c>
      <c r="F63" s="25" t="s">
        <v>238</v>
      </c>
      <c r="H63" s="2" t="s">
        <v>239</v>
      </c>
    </row>
    <row r="64" spans="1:8" ht="18.75">
      <c r="A64" s="24" t="s">
        <v>38</v>
      </c>
      <c r="B64" s="25" t="s">
        <v>204</v>
      </c>
      <c r="F64" s="25" t="s">
        <v>240</v>
      </c>
      <c r="H64" s="2" t="s">
        <v>241</v>
      </c>
    </row>
    <row r="65" spans="1:8" ht="18.75">
      <c r="A65" s="23" t="s">
        <v>37</v>
      </c>
      <c r="B65" s="23" t="s">
        <v>242</v>
      </c>
      <c r="F65" s="25" t="s">
        <v>243</v>
      </c>
      <c r="H65" s="2" t="s">
        <v>244</v>
      </c>
    </row>
    <row r="66" spans="1:8" ht="18.75">
      <c r="A66" s="24" t="s">
        <v>38</v>
      </c>
      <c r="B66" s="25" t="s">
        <v>245</v>
      </c>
      <c r="F66" s="25" t="s">
        <v>246</v>
      </c>
      <c r="H66" s="2" t="s">
        <v>247</v>
      </c>
    </row>
    <row r="67" spans="1:8" ht="18.75">
      <c r="A67" s="24" t="s">
        <v>38</v>
      </c>
      <c r="B67" s="25" t="s">
        <v>248</v>
      </c>
      <c r="F67" s="25" t="s">
        <v>249</v>
      </c>
      <c r="H67" s="2" t="s">
        <v>250</v>
      </c>
    </row>
    <row r="68" spans="1:8" ht="18.75">
      <c r="A68" s="24" t="s">
        <v>38</v>
      </c>
      <c r="B68" s="25" t="s">
        <v>251</v>
      </c>
      <c r="F68" s="25" t="s">
        <v>252</v>
      </c>
      <c r="H68" s="2" t="s">
        <v>253</v>
      </c>
    </row>
    <row r="69" spans="1:8" ht="18.75">
      <c r="A69" s="24" t="s">
        <v>38</v>
      </c>
      <c r="B69" s="25" t="s">
        <v>254</v>
      </c>
      <c r="F69" s="25" t="s">
        <v>255</v>
      </c>
      <c r="H69" s="2" t="s">
        <v>256</v>
      </c>
    </row>
    <row r="70" spans="1:8" ht="18.75">
      <c r="A70" s="24" t="s">
        <v>38</v>
      </c>
      <c r="B70" s="25" t="s">
        <v>180</v>
      </c>
      <c r="F70" s="25" t="s">
        <v>257</v>
      </c>
      <c r="H70" s="2" t="s">
        <v>193</v>
      </c>
    </row>
    <row r="71" spans="1:8" ht="18.75">
      <c r="A71" s="24" t="s">
        <v>38</v>
      </c>
      <c r="B71" s="25" t="s">
        <v>183</v>
      </c>
      <c r="F71" s="25" t="s">
        <v>258</v>
      </c>
      <c r="H71" s="2" t="s">
        <v>196</v>
      </c>
    </row>
    <row r="72" spans="1:8" ht="18.75">
      <c r="A72" s="24" t="s">
        <v>38</v>
      </c>
      <c r="B72" s="25" t="s">
        <v>186</v>
      </c>
      <c r="F72" s="25" t="s">
        <v>259</v>
      </c>
      <c r="H72" s="2" t="s">
        <v>260</v>
      </c>
    </row>
    <row r="73" spans="1:8" ht="18.75">
      <c r="A73" s="24" t="s">
        <v>38</v>
      </c>
      <c r="B73" s="25" t="s">
        <v>189</v>
      </c>
      <c r="F73" s="25" t="s">
        <v>261</v>
      </c>
      <c r="H73" s="2" t="s">
        <v>262</v>
      </c>
    </row>
    <row r="74" spans="1:8" ht="18.75">
      <c r="A74" s="24" t="s">
        <v>38</v>
      </c>
      <c r="B74" s="25" t="s">
        <v>263</v>
      </c>
      <c r="F74" s="25" t="s">
        <v>264</v>
      </c>
      <c r="H74" s="2" t="s">
        <v>265</v>
      </c>
    </row>
    <row r="75" spans="1:8" ht="18.75">
      <c r="A75" s="24" t="s">
        <v>38</v>
      </c>
      <c r="B75" s="25" t="s">
        <v>192</v>
      </c>
      <c r="F75" s="24" t="s">
        <v>266</v>
      </c>
      <c r="H75" s="2" t="s">
        <v>267</v>
      </c>
    </row>
    <row r="76" spans="1:8" ht="18.75">
      <c r="A76" s="24" t="s">
        <v>38</v>
      </c>
      <c r="B76" s="25" t="s">
        <v>268</v>
      </c>
      <c r="F76" s="24" t="s">
        <v>269</v>
      </c>
      <c r="H76" s="2" t="s">
        <v>270</v>
      </c>
    </row>
    <row r="77" spans="1:8" ht="18.75">
      <c r="A77" s="24" t="s">
        <v>38</v>
      </c>
      <c r="B77" s="25" t="s">
        <v>271</v>
      </c>
      <c r="F77" s="24" t="s">
        <v>272</v>
      </c>
      <c r="H77" s="2" t="s">
        <v>199</v>
      </c>
    </row>
    <row r="78" spans="1:8" ht="18.75">
      <c r="A78" s="24" t="s">
        <v>38</v>
      </c>
      <c r="B78" s="25" t="s">
        <v>273</v>
      </c>
      <c r="F78" s="24" t="s">
        <v>274</v>
      </c>
      <c r="H78" s="2" t="s">
        <v>202</v>
      </c>
    </row>
    <row r="79" spans="1:8" ht="18.75">
      <c r="A79" s="24" t="s">
        <v>38</v>
      </c>
      <c r="B79" s="25" t="s">
        <v>275</v>
      </c>
      <c r="F79" s="24" t="s">
        <v>276</v>
      </c>
      <c r="H79" s="2" t="s">
        <v>205</v>
      </c>
    </row>
    <row r="80" spans="1:8" ht="18.75">
      <c r="A80" s="24" t="s">
        <v>38</v>
      </c>
      <c r="B80" s="25" t="s">
        <v>277</v>
      </c>
      <c r="F80" s="24" t="s">
        <v>278</v>
      </c>
      <c r="H80" s="2" t="s">
        <v>279</v>
      </c>
    </row>
    <row r="81" spans="1:8" ht="18.75">
      <c r="A81" s="24" t="s">
        <v>38</v>
      </c>
      <c r="B81" s="25" t="s">
        <v>280</v>
      </c>
      <c r="F81" s="24" t="s">
        <v>281</v>
      </c>
      <c r="H81" s="2" t="s">
        <v>282</v>
      </c>
    </row>
    <row r="82" spans="1:8" ht="18.75">
      <c r="A82" s="24" t="s">
        <v>38</v>
      </c>
      <c r="B82" s="25" t="s">
        <v>204</v>
      </c>
      <c r="F82" s="25" t="s">
        <v>283</v>
      </c>
      <c r="H82" s="2" t="s">
        <v>284</v>
      </c>
    </row>
    <row r="83" spans="1:8" ht="18.75">
      <c r="A83" s="24" t="s">
        <v>38</v>
      </c>
      <c r="B83" s="25" t="s">
        <v>285</v>
      </c>
      <c r="F83" s="24" t="s">
        <v>286</v>
      </c>
      <c r="H83" s="2" t="s">
        <v>287</v>
      </c>
    </row>
    <row r="84" spans="1:8" ht="18.75">
      <c r="A84" s="24" t="s">
        <v>38</v>
      </c>
      <c r="B84" s="25" t="s">
        <v>288</v>
      </c>
      <c r="F84" s="24" t="s">
        <v>289</v>
      </c>
      <c r="H84" s="2" t="s">
        <v>290</v>
      </c>
    </row>
    <row r="85" spans="1:8" ht="18.75">
      <c r="A85" s="24" t="s">
        <v>38</v>
      </c>
      <c r="B85" s="25" t="s">
        <v>291</v>
      </c>
      <c r="F85" s="24" t="s">
        <v>292</v>
      </c>
      <c r="H85" s="2" t="s">
        <v>293</v>
      </c>
    </row>
    <row r="86" spans="1:8" ht="18.75">
      <c r="A86" s="24" t="s">
        <v>38</v>
      </c>
      <c r="B86" s="25" t="s">
        <v>294</v>
      </c>
      <c r="F86" s="24" t="s">
        <v>295</v>
      </c>
      <c r="H86" s="2" t="s">
        <v>296</v>
      </c>
    </row>
    <row r="87" spans="1:8" ht="37.5">
      <c r="A87" s="24" t="s">
        <v>38</v>
      </c>
      <c r="B87" s="25" t="s">
        <v>297</v>
      </c>
      <c r="F87" s="24" t="s">
        <v>298</v>
      </c>
      <c r="H87" s="2" t="s">
        <v>299</v>
      </c>
    </row>
    <row r="88" spans="1:8" ht="18.75">
      <c r="A88" s="23" t="s">
        <v>37</v>
      </c>
      <c r="B88" s="26" t="s">
        <v>300</v>
      </c>
      <c r="F88" s="24" t="s">
        <v>301</v>
      </c>
      <c r="H88" s="2" t="s">
        <v>302</v>
      </c>
    </row>
    <row r="89" spans="1:8" ht="18.75">
      <c r="A89" s="24" t="s">
        <v>38</v>
      </c>
      <c r="B89" s="25" t="s">
        <v>303</v>
      </c>
      <c r="F89" s="24" t="s">
        <v>304</v>
      </c>
      <c r="H89" s="2" t="s">
        <v>305</v>
      </c>
    </row>
    <row r="90" spans="1:8" ht="18.75">
      <c r="A90" s="23" t="s">
        <v>37</v>
      </c>
      <c r="B90" s="23" t="s">
        <v>306</v>
      </c>
      <c r="F90" s="24" t="s">
        <v>307</v>
      </c>
      <c r="H90" s="2" t="s">
        <v>308</v>
      </c>
    </row>
    <row r="91" spans="1:8" ht="18.75">
      <c r="A91" s="24" t="s">
        <v>38</v>
      </c>
      <c r="B91" s="25" t="s">
        <v>309</v>
      </c>
      <c r="F91" s="24" t="s">
        <v>310</v>
      </c>
      <c r="H91" s="2" t="s">
        <v>311</v>
      </c>
    </row>
    <row r="92" spans="1:8" ht="18.75">
      <c r="A92" s="24" t="s">
        <v>38</v>
      </c>
      <c r="B92" s="25" t="s">
        <v>312</v>
      </c>
      <c r="F92" s="24" t="s">
        <v>313</v>
      </c>
      <c r="H92" s="2" t="s">
        <v>314</v>
      </c>
    </row>
    <row r="93" spans="1:8" ht="18.75">
      <c r="A93" s="24" t="s">
        <v>38</v>
      </c>
      <c r="B93" s="25" t="s">
        <v>315</v>
      </c>
      <c r="F93" s="27" t="s">
        <v>316</v>
      </c>
      <c r="H93" s="2" t="s">
        <v>317</v>
      </c>
    </row>
    <row r="94" spans="1:8" ht="18.75">
      <c r="A94" s="24" t="s">
        <v>38</v>
      </c>
      <c r="B94" s="25" t="s">
        <v>318</v>
      </c>
      <c r="F94" s="27" t="s">
        <v>319</v>
      </c>
      <c r="H94" s="2" t="s">
        <v>320</v>
      </c>
    </row>
    <row r="95" spans="1:8" ht="18.75">
      <c r="A95" s="24" t="s">
        <v>38</v>
      </c>
      <c r="B95" s="25" t="s">
        <v>321</v>
      </c>
      <c r="F95" s="24" t="s">
        <v>322</v>
      </c>
      <c r="H95" s="2" t="s">
        <v>323</v>
      </c>
    </row>
    <row r="96" spans="1:8" ht="18.75">
      <c r="A96" s="24" t="s">
        <v>38</v>
      </c>
      <c r="B96" s="25" t="s">
        <v>324</v>
      </c>
      <c r="F96" s="27" t="s">
        <v>325</v>
      </c>
      <c r="H96" s="2" t="s">
        <v>326</v>
      </c>
    </row>
    <row r="97" spans="1:8" ht="18.75">
      <c r="A97" s="24" t="s">
        <v>38</v>
      </c>
      <c r="B97" s="25" t="s">
        <v>327</v>
      </c>
      <c r="F97" s="27" t="s">
        <v>328</v>
      </c>
      <c r="H97" s="2" t="s">
        <v>329</v>
      </c>
    </row>
    <row r="98" spans="1:8" ht="18.75">
      <c r="A98" s="24" t="s">
        <v>38</v>
      </c>
      <c r="B98" s="25" t="s">
        <v>330</v>
      </c>
      <c r="F98" s="27" t="s">
        <v>331</v>
      </c>
      <c r="H98" s="2" t="s">
        <v>332</v>
      </c>
    </row>
    <row r="99" spans="1:8" ht="18.75">
      <c r="A99" s="24" t="s">
        <v>38</v>
      </c>
      <c r="B99" s="25" t="s">
        <v>333</v>
      </c>
      <c r="F99" s="27" t="s">
        <v>334</v>
      </c>
      <c r="H99" s="2" t="s">
        <v>335</v>
      </c>
    </row>
    <row r="100" spans="1:8" ht="18.75">
      <c r="A100" s="24" t="s">
        <v>38</v>
      </c>
      <c r="B100" s="25" t="s">
        <v>336</v>
      </c>
      <c r="F100" s="27" t="s">
        <v>337</v>
      </c>
      <c r="H100" s="2" t="s">
        <v>338</v>
      </c>
    </row>
    <row r="101" spans="1:8" ht="18.75">
      <c r="A101" s="24" t="s">
        <v>38</v>
      </c>
      <c r="B101" s="24" t="s">
        <v>339</v>
      </c>
      <c r="F101" s="27" t="s">
        <v>340</v>
      </c>
      <c r="H101" s="2" t="s">
        <v>341</v>
      </c>
    </row>
    <row r="102" spans="1:8" ht="18.75">
      <c r="A102" s="24" t="s">
        <v>38</v>
      </c>
      <c r="B102" s="24" t="s">
        <v>342</v>
      </c>
      <c r="F102" s="27" t="s">
        <v>343</v>
      </c>
      <c r="H102" s="2" t="s">
        <v>344</v>
      </c>
    </row>
    <row r="103" spans="1:8" ht="18.75">
      <c r="A103" s="23" t="s">
        <v>37</v>
      </c>
      <c r="B103" s="23" t="s">
        <v>345</v>
      </c>
      <c r="F103" s="24" t="s">
        <v>346</v>
      </c>
      <c r="H103" s="2" t="s">
        <v>347</v>
      </c>
    </row>
    <row r="104" spans="1:8" ht="18.75">
      <c r="A104" s="24" t="s">
        <v>38</v>
      </c>
      <c r="B104" s="24" t="s">
        <v>348</v>
      </c>
      <c r="F104" s="27" t="s">
        <v>349</v>
      </c>
      <c r="H104" s="2" t="s">
        <v>350</v>
      </c>
    </row>
    <row r="105" spans="1:8" ht="18.75">
      <c r="A105" s="24" t="s">
        <v>38</v>
      </c>
      <c r="B105" s="24" t="s">
        <v>351</v>
      </c>
      <c r="F105" s="24" t="s">
        <v>352</v>
      </c>
      <c r="H105" s="2" t="s">
        <v>353</v>
      </c>
    </row>
    <row r="106" spans="1:8" ht="18.75">
      <c r="A106" s="24" t="s">
        <v>38</v>
      </c>
      <c r="B106" s="24" t="s">
        <v>354</v>
      </c>
      <c r="F106" s="24" t="s">
        <v>355</v>
      </c>
      <c r="H106" s="2" t="s">
        <v>356</v>
      </c>
    </row>
    <row r="107" spans="1:8" ht="18.75">
      <c r="A107" s="24" t="s">
        <v>38</v>
      </c>
      <c r="B107" s="24" t="s">
        <v>357</v>
      </c>
      <c r="F107" s="24" t="s">
        <v>358</v>
      </c>
      <c r="H107" s="2" t="s">
        <v>359</v>
      </c>
    </row>
    <row r="108" spans="1:8" ht="18.75">
      <c r="A108" s="24" t="s">
        <v>38</v>
      </c>
      <c r="B108" s="24" t="s">
        <v>360</v>
      </c>
      <c r="F108" s="24" t="s">
        <v>361</v>
      </c>
      <c r="H108" s="2" t="s">
        <v>362</v>
      </c>
    </row>
    <row r="109" spans="1:8" ht="18.75">
      <c r="A109" s="23" t="s">
        <v>37</v>
      </c>
      <c r="B109" s="23" t="s">
        <v>363</v>
      </c>
      <c r="F109" s="24" t="s">
        <v>364</v>
      </c>
      <c r="H109" s="2" t="s">
        <v>365</v>
      </c>
    </row>
    <row r="110" spans="1:8" ht="37.5">
      <c r="A110" s="24" t="s">
        <v>38</v>
      </c>
      <c r="B110" s="25" t="s">
        <v>366</v>
      </c>
      <c r="F110" s="24" t="s">
        <v>367</v>
      </c>
      <c r="H110" s="2" t="s">
        <v>368</v>
      </c>
    </row>
    <row r="111" spans="1:8" ht="18.75">
      <c r="A111" s="24" t="s">
        <v>38</v>
      </c>
      <c r="B111" s="24" t="s">
        <v>369</v>
      </c>
      <c r="F111" s="24" t="s">
        <v>370</v>
      </c>
      <c r="H111" s="2" t="s">
        <v>371</v>
      </c>
    </row>
    <row r="112" spans="1:8" ht="18.75">
      <c r="A112" s="24" t="s">
        <v>38</v>
      </c>
      <c r="B112" s="24" t="s">
        <v>372</v>
      </c>
      <c r="F112" s="24" t="s">
        <v>373</v>
      </c>
      <c r="H112" s="2" t="s">
        <v>374</v>
      </c>
    </row>
    <row r="113" spans="1:8" ht="18.75">
      <c r="A113" s="24" t="s">
        <v>38</v>
      </c>
      <c r="B113" s="24" t="s">
        <v>375</v>
      </c>
      <c r="F113" s="24" t="s">
        <v>376</v>
      </c>
      <c r="H113" s="2" t="s">
        <v>377</v>
      </c>
    </row>
    <row r="114" spans="1:8" ht="18.75">
      <c r="A114" s="24" t="s">
        <v>38</v>
      </c>
      <c r="B114" s="24" t="s">
        <v>378</v>
      </c>
      <c r="F114" s="24" t="s">
        <v>379</v>
      </c>
      <c r="H114" s="2" t="s">
        <v>380</v>
      </c>
    </row>
    <row r="115" spans="1:8" ht="18.75">
      <c r="A115" s="24" t="s">
        <v>38</v>
      </c>
      <c r="B115" s="24" t="s">
        <v>381</v>
      </c>
      <c r="F115" s="24" t="s">
        <v>382</v>
      </c>
      <c r="H115" s="2" t="s">
        <v>383</v>
      </c>
    </row>
    <row r="116" spans="1:8" ht="18.75">
      <c r="A116" s="24" t="s">
        <v>38</v>
      </c>
      <c r="B116" s="24" t="s">
        <v>384</v>
      </c>
      <c r="F116" s="24" t="s">
        <v>385</v>
      </c>
      <c r="H116" s="2" t="s">
        <v>386</v>
      </c>
    </row>
    <row r="117" spans="1:8" ht="18.75">
      <c r="A117" s="24" t="s">
        <v>38</v>
      </c>
      <c r="B117" s="24" t="s">
        <v>387</v>
      </c>
      <c r="F117" s="24" t="s">
        <v>388</v>
      </c>
      <c r="H117" s="2" t="s">
        <v>389</v>
      </c>
    </row>
    <row r="118" spans="1:8" ht="18.75">
      <c r="A118" s="23" t="s">
        <v>37</v>
      </c>
      <c r="B118" s="23" t="s">
        <v>390</v>
      </c>
      <c r="F118" s="24" t="s">
        <v>391</v>
      </c>
      <c r="H118" s="2" t="s">
        <v>235</v>
      </c>
    </row>
    <row r="119" spans="1:8" ht="18.75">
      <c r="A119" s="24" t="s">
        <v>38</v>
      </c>
      <c r="B119" s="24" t="s">
        <v>392</v>
      </c>
      <c r="F119" s="24" t="s">
        <v>393</v>
      </c>
      <c r="H119" s="2" t="s">
        <v>394</v>
      </c>
    </row>
    <row r="120" spans="1:8" ht="18.75">
      <c r="A120" s="24" t="s">
        <v>38</v>
      </c>
      <c r="B120" s="24" t="s">
        <v>395</v>
      </c>
      <c r="F120" s="24" t="s">
        <v>396</v>
      </c>
      <c r="H120" s="2" t="s">
        <v>397</v>
      </c>
    </row>
    <row r="121" spans="1:8" ht="18.75">
      <c r="A121" s="24" t="s">
        <v>38</v>
      </c>
      <c r="B121" s="24" t="s">
        <v>398</v>
      </c>
      <c r="F121" s="24" t="s">
        <v>399</v>
      </c>
      <c r="H121" s="2" t="s">
        <v>400</v>
      </c>
    </row>
    <row r="122" spans="1:8" ht="18.75">
      <c r="A122" s="23" t="s">
        <v>37</v>
      </c>
      <c r="B122" s="23" t="s">
        <v>401</v>
      </c>
      <c r="F122" s="24" t="s">
        <v>402</v>
      </c>
      <c r="H122" s="2" t="s">
        <v>403</v>
      </c>
    </row>
    <row r="123" spans="1:8" ht="18.75">
      <c r="A123" s="24" t="s">
        <v>38</v>
      </c>
      <c r="B123" s="27" t="s">
        <v>404</v>
      </c>
      <c r="F123" s="24" t="s">
        <v>405</v>
      </c>
      <c r="H123" s="2" t="s">
        <v>406</v>
      </c>
    </row>
    <row r="124" spans="1:8" ht="18.75">
      <c r="A124" s="24" t="s">
        <v>38</v>
      </c>
      <c r="B124" s="27" t="s">
        <v>407</v>
      </c>
      <c r="F124" s="24" t="s">
        <v>408</v>
      </c>
      <c r="H124" s="2" t="s">
        <v>409</v>
      </c>
    </row>
    <row r="125" spans="1:8" ht="18.75">
      <c r="A125" s="24" t="s">
        <v>38</v>
      </c>
      <c r="B125" s="24" t="s">
        <v>410</v>
      </c>
      <c r="F125" s="24" t="s">
        <v>411</v>
      </c>
      <c r="H125" s="2" t="s">
        <v>412</v>
      </c>
    </row>
    <row r="126" spans="1:8" ht="18.75">
      <c r="A126" s="23" t="s">
        <v>37</v>
      </c>
      <c r="B126" s="26" t="s">
        <v>413</v>
      </c>
      <c r="F126" s="24" t="s">
        <v>414</v>
      </c>
      <c r="H126" s="2" t="s">
        <v>415</v>
      </c>
    </row>
    <row r="127" spans="1:8" ht="18.75">
      <c r="A127" s="24" t="s">
        <v>38</v>
      </c>
      <c r="B127" s="27" t="s">
        <v>416</v>
      </c>
      <c r="F127" s="24" t="s">
        <v>417</v>
      </c>
      <c r="H127" s="2" t="s">
        <v>301</v>
      </c>
    </row>
    <row r="128" spans="1:8" ht="18.75">
      <c r="A128" s="24" t="s">
        <v>38</v>
      </c>
      <c r="B128" s="27" t="s">
        <v>418</v>
      </c>
      <c r="F128" s="24" t="s">
        <v>419</v>
      </c>
      <c r="H128" s="2" t="s">
        <v>420</v>
      </c>
    </row>
    <row r="129" spans="1:8" ht="18.75">
      <c r="A129" s="24" t="s">
        <v>38</v>
      </c>
      <c r="B129" s="27" t="s">
        <v>421</v>
      </c>
      <c r="F129" s="24" t="s">
        <v>422</v>
      </c>
      <c r="H129" s="2" t="s">
        <v>307</v>
      </c>
    </row>
    <row r="130" spans="1:8" ht="37.5">
      <c r="A130" s="24" t="s">
        <v>38</v>
      </c>
      <c r="B130" s="27" t="s">
        <v>423</v>
      </c>
      <c r="F130" s="24" t="s">
        <v>424</v>
      </c>
      <c r="H130" s="2" t="s">
        <v>425</v>
      </c>
    </row>
    <row r="131" spans="1:8" ht="18.75">
      <c r="A131" s="24" t="s">
        <v>38</v>
      </c>
      <c r="B131" s="27" t="s">
        <v>426</v>
      </c>
      <c r="F131" s="24" t="s">
        <v>427</v>
      </c>
      <c r="H131" s="2" t="s">
        <v>313</v>
      </c>
    </row>
    <row r="132" spans="1:8" ht="18.75">
      <c r="A132" s="24" t="s">
        <v>38</v>
      </c>
      <c r="B132" s="27" t="s">
        <v>428</v>
      </c>
      <c r="F132" s="24" t="s">
        <v>429</v>
      </c>
      <c r="H132" s="2" t="s">
        <v>316</v>
      </c>
    </row>
    <row r="133" spans="1:8" ht="18.75">
      <c r="A133" s="24" t="s">
        <v>38</v>
      </c>
      <c r="B133" s="27" t="s">
        <v>430</v>
      </c>
      <c r="F133" s="24" t="s">
        <v>431</v>
      </c>
      <c r="H133" s="2" t="s">
        <v>319</v>
      </c>
    </row>
    <row r="134" spans="1:8" ht="18.75">
      <c r="A134" s="24" t="s">
        <v>38</v>
      </c>
      <c r="B134" s="24" t="s">
        <v>432</v>
      </c>
      <c r="F134" s="24" t="s">
        <v>433</v>
      </c>
      <c r="H134" s="2" t="s">
        <v>322</v>
      </c>
    </row>
    <row r="135" spans="1:8" ht="18.75">
      <c r="A135" s="24" t="s">
        <v>38</v>
      </c>
      <c r="B135" s="27" t="s">
        <v>434</v>
      </c>
      <c r="F135" s="24" t="s">
        <v>435</v>
      </c>
      <c r="H135" s="2" t="s">
        <v>325</v>
      </c>
    </row>
    <row r="136" spans="1:8" ht="18.75">
      <c r="A136" s="23" t="s">
        <v>37</v>
      </c>
      <c r="B136" s="23" t="s">
        <v>436</v>
      </c>
      <c r="F136" s="24" t="s">
        <v>437</v>
      </c>
      <c r="H136" s="2" t="s">
        <v>328</v>
      </c>
    </row>
    <row r="137" spans="1:8" ht="18.75">
      <c r="A137" s="24" t="s">
        <v>38</v>
      </c>
      <c r="B137" s="24" t="s">
        <v>438</v>
      </c>
      <c r="F137" s="24" t="s">
        <v>439</v>
      </c>
      <c r="H137" s="2" t="s">
        <v>331</v>
      </c>
    </row>
    <row r="138" spans="1:8" ht="18.75">
      <c r="A138" s="24" t="s">
        <v>38</v>
      </c>
      <c r="B138" s="24" t="s">
        <v>440</v>
      </c>
      <c r="F138" s="24" t="s">
        <v>441</v>
      </c>
      <c r="H138" s="2" t="s">
        <v>334</v>
      </c>
    </row>
    <row r="139" spans="1:8" ht="18.75">
      <c r="A139" s="24" t="s">
        <v>38</v>
      </c>
      <c r="B139" s="24" t="s">
        <v>442</v>
      </c>
      <c r="F139" s="24" t="s">
        <v>443</v>
      </c>
      <c r="H139" s="2" t="s">
        <v>444</v>
      </c>
    </row>
    <row r="140" spans="1:8" ht="18.75">
      <c r="A140" s="24" t="s">
        <v>38</v>
      </c>
      <c r="B140" s="24" t="s">
        <v>445</v>
      </c>
      <c r="F140" s="24" t="s">
        <v>446</v>
      </c>
      <c r="H140" s="2" t="s">
        <v>447</v>
      </c>
    </row>
    <row r="141" spans="1:8" ht="18.75">
      <c r="A141" s="24" t="s">
        <v>38</v>
      </c>
      <c r="B141" s="24" t="s">
        <v>448</v>
      </c>
      <c r="F141" s="24" t="s">
        <v>449</v>
      </c>
      <c r="H141" s="2" t="s">
        <v>450</v>
      </c>
    </row>
    <row r="142" spans="1:8" ht="18.75">
      <c r="A142" s="24" t="s">
        <v>38</v>
      </c>
      <c r="B142" s="24" t="s">
        <v>451</v>
      </c>
      <c r="F142" s="24" t="s">
        <v>452</v>
      </c>
      <c r="H142" s="2" t="s">
        <v>349</v>
      </c>
    </row>
    <row r="143" spans="1:8" ht="18.75">
      <c r="A143" s="24" t="s">
        <v>38</v>
      </c>
      <c r="B143" s="24" t="s">
        <v>453</v>
      </c>
      <c r="F143" s="24" t="s">
        <v>454</v>
      </c>
      <c r="H143" s="2" t="s">
        <v>352</v>
      </c>
    </row>
    <row r="144" spans="1:8" ht="18.75">
      <c r="A144" s="24" t="s">
        <v>38</v>
      </c>
      <c r="B144" s="24" t="s">
        <v>455</v>
      </c>
      <c r="F144" s="24" t="s">
        <v>456</v>
      </c>
      <c r="H144" s="2" t="s">
        <v>457</v>
      </c>
    </row>
    <row r="145" spans="1:8" ht="18.75">
      <c r="A145" s="24" t="s">
        <v>38</v>
      </c>
      <c r="B145" s="24" t="s">
        <v>458</v>
      </c>
      <c r="F145" s="24" t="s">
        <v>459</v>
      </c>
      <c r="H145" s="2" t="s">
        <v>460</v>
      </c>
    </row>
    <row r="146" spans="1:8" ht="18.75">
      <c r="A146" s="24" t="s">
        <v>38</v>
      </c>
      <c r="B146" s="24" t="s">
        <v>461</v>
      </c>
      <c r="F146" s="24" t="s">
        <v>462</v>
      </c>
      <c r="H146" s="2" t="s">
        <v>463</v>
      </c>
    </row>
    <row r="147" spans="1:8" ht="18.75">
      <c r="A147" s="24" t="s">
        <v>38</v>
      </c>
      <c r="B147" s="24" t="s">
        <v>464</v>
      </c>
      <c r="F147" s="24" t="s">
        <v>465</v>
      </c>
      <c r="H147" s="2" t="s">
        <v>466</v>
      </c>
    </row>
    <row r="148" spans="1:8" ht="18.75">
      <c r="A148" s="23" t="s">
        <v>37</v>
      </c>
      <c r="B148" s="23" t="s">
        <v>467</v>
      </c>
      <c r="F148" s="24" t="s">
        <v>468</v>
      </c>
      <c r="H148" s="2" t="s">
        <v>469</v>
      </c>
    </row>
    <row r="149" spans="1:8" ht="18.75">
      <c r="A149" s="24" t="s">
        <v>38</v>
      </c>
      <c r="B149" s="24" t="s">
        <v>470</v>
      </c>
      <c r="F149" s="24" t="s">
        <v>471</v>
      </c>
      <c r="H149" s="2" t="s">
        <v>472</v>
      </c>
    </row>
    <row r="150" spans="1:8" ht="18.75">
      <c r="A150" s="24" t="s">
        <v>38</v>
      </c>
      <c r="B150" s="24" t="s">
        <v>473</v>
      </c>
      <c r="F150" s="24" t="s">
        <v>474</v>
      </c>
      <c r="H150" s="2" t="s">
        <v>475</v>
      </c>
    </row>
    <row r="151" spans="1:8" ht="18.75">
      <c r="A151" s="24" t="s">
        <v>38</v>
      </c>
      <c r="B151" s="24" t="s">
        <v>476</v>
      </c>
      <c r="F151" s="24" t="s">
        <v>477</v>
      </c>
      <c r="H151" s="2" t="s">
        <v>478</v>
      </c>
    </row>
    <row r="152" spans="1:8" ht="18.75">
      <c r="A152" s="24" t="s">
        <v>38</v>
      </c>
      <c r="B152" s="24" t="s">
        <v>479</v>
      </c>
      <c r="F152" s="24" t="s">
        <v>480</v>
      </c>
      <c r="H152" s="2" t="s">
        <v>481</v>
      </c>
    </row>
    <row r="153" spans="1:8" ht="18.75">
      <c r="A153" s="24" t="s">
        <v>38</v>
      </c>
      <c r="B153" s="24" t="s">
        <v>482</v>
      </c>
      <c r="F153" s="24" t="s">
        <v>483</v>
      </c>
      <c r="H153" s="2" t="s">
        <v>484</v>
      </c>
    </row>
    <row r="154" spans="1:8" ht="18.75">
      <c r="A154" s="24" t="s">
        <v>38</v>
      </c>
      <c r="B154" s="24" t="s">
        <v>485</v>
      </c>
      <c r="F154" s="24" t="s">
        <v>486</v>
      </c>
      <c r="H154" s="2" t="s">
        <v>487</v>
      </c>
    </row>
    <row r="155" spans="1:8" ht="18.75">
      <c r="A155" s="24" t="s">
        <v>38</v>
      </c>
      <c r="B155" s="24" t="s">
        <v>488</v>
      </c>
      <c r="F155" s="24" t="s">
        <v>489</v>
      </c>
      <c r="H155" s="2" t="s">
        <v>490</v>
      </c>
    </row>
    <row r="156" spans="1:8" ht="18.75">
      <c r="A156" s="24" t="s">
        <v>38</v>
      </c>
      <c r="B156" s="24" t="s">
        <v>491</v>
      </c>
      <c r="F156" s="24" t="s">
        <v>492</v>
      </c>
      <c r="H156" s="2" t="s">
        <v>493</v>
      </c>
    </row>
    <row r="157" spans="1:8" ht="18.75">
      <c r="A157" s="24" t="s">
        <v>38</v>
      </c>
      <c r="B157" s="24" t="s">
        <v>494</v>
      </c>
      <c r="F157" s="24" t="s">
        <v>495</v>
      </c>
      <c r="H157" s="2" t="s">
        <v>496</v>
      </c>
    </row>
    <row r="158" spans="1:8" ht="18.75">
      <c r="A158" s="24" t="s">
        <v>38</v>
      </c>
      <c r="B158" s="24" t="s">
        <v>497</v>
      </c>
      <c r="F158" s="24" t="s">
        <v>498</v>
      </c>
      <c r="H158" s="2" t="s">
        <v>376</v>
      </c>
    </row>
    <row r="159" spans="1:8" ht="18.75">
      <c r="A159" s="24" t="s">
        <v>38</v>
      </c>
      <c r="B159" s="24" t="s">
        <v>499</v>
      </c>
      <c r="F159" s="28" t="s">
        <v>500</v>
      </c>
      <c r="H159" s="2" t="s">
        <v>501</v>
      </c>
    </row>
    <row r="160" spans="1:8" ht="18.75">
      <c r="A160" s="23" t="s">
        <v>37</v>
      </c>
      <c r="B160" s="23" t="s">
        <v>502</v>
      </c>
      <c r="F160" s="25" t="s">
        <v>503</v>
      </c>
      <c r="H160" s="2" t="s">
        <v>504</v>
      </c>
    </row>
    <row r="161" spans="1:8" ht="18.75">
      <c r="A161" s="24" t="s">
        <v>38</v>
      </c>
      <c r="B161" s="24" t="s">
        <v>505</v>
      </c>
      <c r="F161" s="24" t="s">
        <v>506</v>
      </c>
      <c r="H161" s="2" t="s">
        <v>382</v>
      </c>
    </row>
    <row r="162" spans="1:8" ht="18.75">
      <c r="A162" s="24" t="s">
        <v>38</v>
      </c>
      <c r="B162" s="24" t="s">
        <v>507</v>
      </c>
      <c r="F162" s="24" t="s">
        <v>508</v>
      </c>
      <c r="H162" s="2" t="s">
        <v>509</v>
      </c>
    </row>
    <row r="163" spans="1:8" ht="18.75">
      <c r="A163" s="24" t="s">
        <v>38</v>
      </c>
      <c r="B163" s="24" t="s">
        <v>510</v>
      </c>
      <c r="F163" s="24" t="s">
        <v>511</v>
      </c>
      <c r="H163" s="2" t="s">
        <v>512</v>
      </c>
    </row>
    <row r="164" spans="1:8" ht="18.75">
      <c r="A164" s="24" t="s">
        <v>38</v>
      </c>
      <c r="B164" s="24" t="s">
        <v>513</v>
      </c>
      <c r="F164" s="25" t="s">
        <v>514</v>
      </c>
      <c r="H164" s="2" t="s">
        <v>515</v>
      </c>
    </row>
    <row r="165" spans="1:8" ht="18.75">
      <c r="A165" s="24" t="s">
        <v>38</v>
      </c>
      <c r="B165" s="24" t="s">
        <v>516</v>
      </c>
      <c r="F165" s="24" t="s">
        <v>517</v>
      </c>
      <c r="H165" s="2" t="s">
        <v>518</v>
      </c>
    </row>
    <row r="166" spans="1:8" ht="18.75">
      <c r="A166" s="24" t="s">
        <v>38</v>
      </c>
      <c r="B166" s="24" t="s">
        <v>519</v>
      </c>
      <c r="F166" s="24" t="s">
        <v>520</v>
      </c>
      <c r="H166" s="2" t="s">
        <v>521</v>
      </c>
    </row>
    <row r="167" spans="1:8" ht="18.75">
      <c r="A167" s="24" t="s">
        <v>38</v>
      </c>
      <c r="B167" s="24" t="s">
        <v>522</v>
      </c>
      <c r="F167" s="24" t="s">
        <v>523</v>
      </c>
      <c r="H167" s="2" t="s">
        <v>524</v>
      </c>
    </row>
    <row r="168" spans="1:8" ht="18.75">
      <c r="A168" s="24" t="s">
        <v>38</v>
      </c>
      <c r="B168" s="24" t="s">
        <v>525</v>
      </c>
      <c r="F168" s="24" t="s">
        <v>526</v>
      </c>
      <c r="H168" s="2" t="s">
        <v>527</v>
      </c>
    </row>
    <row r="169" spans="1:8" ht="18.75">
      <c r="A169" s="24" t="s">
        <v>38</v>
      </c>
      <c r="B169" s="24" t="s">
        <v>528</v>
      </c>
      <c r="F169" s="24" t="s">
        <v>529</v>
      </c>
      <c r="H169" s="2" t="s">
        <v>530</v>
      </c>
    </row>
    <row r="170" spans="1:8" ht="18.75">
      <c r="A170" s="23" t="s">
        <v>37</v>
      </c>
      <c r="B170" s="26" t="s">
        <v>531</v>
      </c>
      <c r="F170" s="24" t="s">
        <v>532</v>
      </c>
      <c r="H170" s="2" t="s">
        <v>533</v>
      </c>
    </row>
    <row r="171" spans="1:8" ht="18.75">
      <c r="A171" s="24" t="s">
        <v>38</v>
      </c>
      <c r="B171" s="24" t="s">
        <v>534</v>
      </c>
      <c r="F171" s="25" t="s">
        <v>535</v>
      </c>
      <c r="H171" s="2" t="s">
        <v>536</v>
      </c>
    </row>
    <row r="172" spans="1:8" ht="18.75">
      <c r="A172" s="24" t="s">
        <v>38</v>
      </c>
      <c r="B172" s="24" t="s">
        <v>537</v>
      </c>
      <c r="F172" s="24" t="s">
        <v>538</v>
      </c>
      <c r="H172" s="2" t="s">
        <v>539</v>
      </c>
    </row>
    <row r="173" spans="1:8" ht="18.75">
      <c r="A173" s="24" t="s">
        <v>38</v>
      </c>
      <c r="B173" s="24" t="s">
        <v>540</v>
      </c>
      <c r="F173" s="24" t="s">
        <v>541</v>
      </c>
      <c r="H173" s="2" t="s">
        <v>411</v>
      </c>
    </row>
    <row r="174" spans="1:8" ht="18.75">
      <c r="A174" s="24" t="s">
        <v>38</v>
      </c>
      <c r="B174" s="24" t="s">
        <v>542</v>
      </c>
      <c r="F174" s="24" t="s">
        <v>543</v>
      </c>
      <c r="H174" s="2" t="s">
        <v>414</v>
      </c>
    </row>
    <row r="175" spans="1:8" ht="18.75">
      <c r="A175" s="24" t="s">
        <v>38</v>
      </c>
      <c r="B175" s="24" t="s">
        <v>544</v>
      </c>
      <c r="F175" s="24" t="s">
        <v>545</v>
      </c>
      <c r="H175" s="2" t="s">
        <v>417</v>
      </c>
    </row>
    <row r="176" spans="1:8" ht="18.75">
      <c r="A176" s="24" t="s">
        <v>38</v>
      </c>
      <c r="B176" s="24" t="s">
        <v>546</v>
      </c>
      <c r="F176" s="24" t="s">
        <v>547</v>
      </c>
      <c r="H176" s="2" t="s">
        <v>548</v>
      </c>
    </row>
    <row r="177" spans="1:8" ht="18.75">
      <c r="A177" s="24" t="s">
        <v>38</v>
      </c>
      <c r="B177" s="24" t="s">
        <v>549</v>
      </c>
      <c r="F177" s="24" t="s">
        <v>550</v>
      </c>
      <c r="H177" s="2" t="s">
        <v>551</v>
      </c>
    </row>
    <row r="178" spans="1:8" ht="18.75">
      <c r="A178" s="24" t="s">
        <v>38</v>
      </c>
      <c r="B178" s="24" t="s">
        <v>552</v>
      </c>
      <c r="F178" s="24" t="s">
        <v>553</v>
      </c>
      <c r="H178" s="2" t="s">
        <v>554</v>
      </c>
    </row>
    <row r="179" spans="1:8" ht="18.75">
      <c r="A179" s="24" t="s">
        <v>38</v>
      </c>
      <c r="B179" s="24" t="s">
        <v>555</v>
      </c>
      <c r="F179" s="24" t="s">
        <v>556</v>
      </c>
      <c r="H179" s="2" t="s">
        <v>557</v>
      </c>
    </row>
    <row r="180" spans="1:8" ht="18.75">
      <c r="A180" s="24" t="s">
        <v>38</v>
      </c>
      <c r="B180" s="24" t="s">
        <v>558</v>
      </c>
      <c r="F180" s="24" t="s">
        <v>559</v>
      </c>
      <c r="H180" s="2" t="s">
        <v>560</v>
      </c>
    </row>
    <row r="181" spans="1:8" ht="18.75">
      <c r="A181" s="24" t="s">
        <v>38</v>
      </c>
      <c r="B181" s="24" t="s">
        <v>561</v>
      </c>
      <c r="F181" s="24" t="s">
        <v>562</v>
      </c>
      <c r="H181" s="2" t="s">
        <v>431</v>
      </c>
    </row>
    <row r="182" spans="1:8" ht="18.75">
      <c r="A182" s="24" t="s">
        <v>38</v>
      </c>
      <c r="B182" s="24" t="s">
        <v>563</v>
      </c>
      <c r="F182" s="24" t="s">
        <v>564</v>
      </c>
      <c r="H182" s="2" t="s">
        <v>433</v>
      </c>
    </row>
    <row r="183" spans="1:8" ht="18.75">
      <c r="A183" s="24" t="s">
        <v>38</v>
      </c>
      <c r="B183" s="24" t="s">
        <v>565</v>
      </c>
      <c r="F183" s="24" t="s">
        <v>566</v>
      </c>
      <c r="H183" s="2" t="s">
        <v>435</v>
      </c>
    </row>
    <row r="184" spans="1:8" ht="18.75">
      <c r="A184" s="24" t="s">
        <v>38</v>
      </c>
      <c r="B184" s="24" t="s">
        <v>567</v>
      </c>
      <c r="F184" s="24" t="s">
        <v>568</v>
      </c>
      <c r="H184" s="2" t="s">
        <v>437</v>
      </c>
    </row>
    <row r="185" spans="1:8" ht="18.75">
      <c r="A185" s="24" t="s">
        <v>38</v>
      </c>
      <c r="B185" s="24" t="s">
        <v>569</v>
      </c>
      <c r="F185" s="24" t="s">
        <v>570</v>
      </c>
      <c r="H185" s="2" t="s">
        <v>439</v>
      </c>
    </row>
    <row r="186" spans="1:8" ht="18.75">
      <c r="A186" s="24" t="s">
        <v>38</v>
      </c>
      <c r="B186" s="24" t="s">
        <v>571</v>
      </c>
      <c r="F186" s="24" t="s">
        <v>572</v>
      </c>
      <c r="H186" s="2" t="s">
        <v>441</v>
      </c>
    </row>
    <row r="187" spans="1:8" ht="18.75">
      <c r="A187" s="24" t="s">
        <v>38</v>
      </c>
      <c r="B187" s="24" t="s">
        <v>573</v>
      </c>
      <c r="F187" s="32" t="s">
        <v>574</v>
      </c>
      <c r="H187" s="2" t="s">
        <v>443</v>
      </c>
    </row>
    <row r="188" spans="1:8" ht="18.75">
      <c r="A188" s="24" t="s">
        <v>38</v>
      </c>
      <c r="B188" s="24" t="s">
        <v>575</v>
      </c>
      <c r="F188" s="24" t="s">
        <v>576</v>
      </c>
      <c r="H188" s="2" t="s">
        <v>446</v>
      </c>
    </row>
    <row r="189" spans="1:8" ht="18.75">
      <c r="A189" s="24" t="s">
        <v>38</v>
      </c>
      <c r="B189" s="24" t="s">
        <v>577</v>
      </c>
      <c r="F189" s="24" t="s">
        <v>578</v>
      </c>
      <c r="H189" s="2" t="s">
        <v>449</v>
      </c>
    </row>
    <row r="190" spans="1:8" ht="18.75">
      <c r="A190" s="24" t="s">
        <v>38</v>
      </c>
      <c r="B190" s="24" t="s">
        <v>579</v>
      </c>
      <c r="F190" s="24" t="s">
        <v>580</v>
      </c>
      <c r="H190" s="2" t="s">
        <v>452</v>
      </c>
    </row>
    <row r="191" spans="1:8" ht="18.75">
      <c r="A191" s="24" t="s">
        <v>38</v>
      </c>
      <c r="B191" s="24" t="s">
        <v>581</v>
      </c>
      <c r="F191" s="24" t="s">
        <v>582</v>
      </c>
      <c r="H191" s="2" t="s">
        <v>454</v>
      </c>
    </row>
    <row r="192" spans="1:8" ht="18.75">
      <c r="A192" s="24" t="s">
        <v>38</v>
      </c>
      <c r="B192" s="24" t="s">
        <v>583</v>
      </c>
      <c r="F192" s="24" t="s">
        <v>584</v>
      </c>
      <c r="H192" s="2" t="s">
        <v>456</v>
      </c>
    </row>
    <row r="193" spans="1:8" ht="18.75">
      <c r="A193" s="24" t="s">
        <v>38</v>
      </c>
      <c r="B193" s="24" t="s">
        <v>585</v>
      </c>
      <c r="F193" s="24" t="s">
        <v>586</v>
      </c>
      <c r="H193" s="2" t="s">
        <v>459</v>
      </c>
    </row>
    <row r="194" spans="1:8" ht="18.75">
      <c r="A194" s="24" t="s">
        <v>38</v>
      </c>
      <c r="B194" s="28" t="s">
        <v>587</v>
      </c>
      <c r="F194" s="24" t="s">
        <v>588</v>
      </c>
      <c r="H194" s="2" t="s">
        <v>462</v>
      </c>
    </row>
    <row r="195" spans="1:8" ht="18.75">
      <c r="A195" s="23" t="s">
        <v>37</v>
      </c>
      <c r="B195" s="23" t="s">
        <v>589</v>
      </c>
      <c r="F195" s="24" t="s">
        <v>590</v>
      </c>
      <c r="H195" s="2" t="s">
        <v>465</v>
      </c>
    </row>
    <row r="196" spans="1:8" ht="56.25">
      <c r="A196" s="24" t="s">
        <v>38</v>
      </c>
      <c r="B196" s="25" t="s">
        <v>591</v>
      </c>
      <c r="F196" s="24" t="s">
        <v>592</v>
      </c>
      <c r="H196" s="2" t="s">
        <v>468</v>
      </c>
    </row>
    <row r="197" spans="1:8" ht="18.75">
      <c r="A197" s="24" t="s">
        <v>38</v>
      </c>
      <c r="B197" s="24" t="s">
        <v>593</v>
      </c>
      <c r="F197" s="24" t="s">
        <v>594</v>
      </c>
      <c r="H197" s="2" t="s">
        <v>471</v>
      </c>
    </row>
    <row r="198" spans="1:8" ht="18.75">
      <c r="A198" s="24" t="s">
        <v>38</v>
      </c>
      <c r="B198" s="24" t="s">
        <v>595</v>
      </c>
      <c r="F198" s="30" t="s">
        <v>596</v>
      </c>
      <c r="H198" s="2" t="s">
        <v>474</v>
      </c>
    </row>
    <row r="199" spans="1:8" ht="18.75">
      <c r="A199" s="24" t="s">
        <v>38</v>
      </c>
      <c r="B199" s="24" t="s">
        <v>597</v>
      </c>
      <c r="F199" s="25" t="s">
        <v>598</v>
      </c>
      <c r="H199" s="2" t="s">
        <v>477</v>
      </c>
    </row>
    <row r="200" spans="1:8" ht="37.5">
      <c r="A200" s="24" t="s">
        <v>38</v>
      </c>
      <c r="B200" s="25" t="s">
        <v>599</v>
      </c>
      <c r="F200" s="25" t="s">
        <v>600</v>
      </c>
      <c r="H200" s="2" t="s">
        <v>480</v>
      </c>
    </row>
    <row r="201" spans="1:8" ht="18.75">
      <c r="A201" s="23" t="s">
        <v>37</v>
      </c>
      <c r="B201" s="23" t="s">
        <v>601</v>
      </c>
      <c r="F201" s="25" t="s">
        <v>602</v>
      </c>
      <c r="H201" s="2" t="s">
        <v>483</v>
      </c>
    </row>
    <row r="202" spans="1:8" ht="18.75">
      <c r="A202" s="24" t="s">
        <v>38</v>
      </c>
      <c r="B202" s="24" t="s">
        <v>603</v>
      </c>
      <c r="F202" s="25" t="s">
        <v>604</v>
      </c>
      <c r="H202" s="2" t="s">
        <v>486</v>
      </c>
    </row>
    <row r="203" spans="1:8" ht="18.75">
      <c r="A203" s="24" t="s">
        <v>38</v>
      </c>
      <c r="B203" s="24" t="s">
        <v>605</v>
      </c>
      <c r="F203" s="25" t="s">
        <v>606</v>
      </c>
      <c r="H203" s="2" t="s">
        <v>489</v>
      </c>
    </row>
    <row r="204" spans="1:8" ht="18.75">
      <c r="A204" s="23" t="s">
        <v>37</v>
      </c>
      <c r="B204" s="23" t="s">
        <v>607</v>
      </c>
      <c r="F204" s="25" t="s">
        <v>608</v>
      </c>
      <c r="H204" s="2" t="s">
        <v>492</v>
      </c>
    </row>
    <row r="205" spans="1:8" ht="18.75">
      <c r="A205" s="24" t="s">
        <v>38</v>
      </c>
      <c r="B205" s="24" t="s">
        <v>609</v>
      </c>
      <c r="F205" s="25" t="s">
        <v>610</v>
      </c>
      <c r="H205" s="2" t="s">
        <v>495</v>
      </c>
    </row>
    <row r="206" spans="1:8" ht="18.75">
      <c r="A206" s="24" t="s">
        <v>38</v>
      </c>
      <c r="B206" s="24" t="s">
        <v>611</v>
      </c>
      <c r="F206" s="25" t="s">
        <v>612</v>
      </c>
      <c r="H206" s="2" t="s">
        <v>613</v>
      </c>
    </row>
    <row r="207" spans="1:8" ht="18.75">
      <c r="A207" s="24" t="s">
        <v>38</v>
      </c>
      <c r="B207" s="24" t="s">
        <v>614</v>
      </c>
      <c r="F207" s="25" t="s">
        <v>615</v>
      </c>
      <c r="H207" s="2" t="s">
        <v>616</v>
      </c>
    </row>
    <row r="208" spans="1:8" ht="18.75">
      <c r="A208" s="24" t="s">
        <v>38</v>
      </c>
      <c r="B208" s="24" t="s">
        <v>617</v>
      </c>
      <c r="F208" s="25" t="s">
        <v>618</v>
      </c>
      <c r="H208" s="2" t="s">
        <v>619</v>
      </c>
    </row>
    <row r="209" spans="1:8" ht="18.75">
      <c r="A209" s="24" t="s">
        <v>38</v>
      </c>
      <c r="B209" s="29" t="s">
        <v>620</v>
      </c>
      <c r="F209" s="25" t="s">
        <v>621</v>
      </c>
      <c r="H209" s="2" t="s">
        <v>622</v>
      </c>
    </row>
    <row r="210" spans="1:8" ht="18.75">
      <c r="A210" s="23" t="s">
        <v>37</v>
      </c>
      <c r="B210" s="23" t="s">
        <v>623</v>
      </c>
      <c r="F210" s="25" t="s">
        <v>624</v>
      </c>
      <c r="H210" s="2" t="s">
        <v>625</v>
      </c>
    </row>
    <row r="211" spans="1:8" ht="18.75">
      <c r="A211" s="24" t="s">
        <v>38</v>
      </c>
      <c r="B211" s="24" t="s">
        <v>626</v>
      </c>
      <c r="F211" s="25" t="s">
        <v>627</v>
      </c>
      <c r="H211" s="2" t="s">
        <v>628</v>
      </c>
    </row>
    <row r="212" spans="1:8" ht="18.75">
      <c r="A212" s="24" t="s">
        <v>38</v>
      </c>
      <c r="B212" s="24" t="s">
        <v>629</v>
      </c>
      <c r="F212" s="25" t="s">
        <v>630</v>
      </c>
      <c r="H212" s="2" t="s">
        <v>631</v>
      </c>
    </row>
    <row r="213" spans="1:8" ht="18.75">
      <c r="A213" s="24" t="s">
        <v>38</v>
      </c>
      <c r="B213" s="24" t="s">
        <v>632</v>
      </c>
      <c r="F213" s="25" t="s">
        <v>633</v>
      </c>
      <c r="H213" s="2" t="s">
        <v>634</v>
      </c>
    </row>
    <row r="214" spans="1:8" ht="18.75">
      <c r="A214" s="24" t="s">
        <v>38</v>
      </c>
      <c r="B214" s="24" t="s">
        <v>635</v>
      </c>
      <c r="F214" s="25" t="s">
        <v>636</v>
      </c>
      <c r="H214" s="2" t="s">
        <v>506</v>
      </c>
    </row>
    <row r="215" spans="1:8" ht="18.75">
      <c r="A215" s="24" t="s">
        <v>38</v>
      </c>
      <c r="B215" s="24" t="s">
        <v>637</v>
      </c>
      <c r="F215" s="25" t="s">
        <v>638</v>
      </c>
      <c r="H215" s="2" t="s">
        <v>639</v>
      </c>
    </row>
    <row r="216" spans="1:8" ht="18.75">
      <c r="A216" s="24" t="s">
        <v>38</v>
      </c>
      <c r="B216" s="24" t="s">
        <v>640</v>
      </c>
      <c r="F216" s="25" t="s">
        <v>641</v>
      </c>
      <c r="H216" s="2" t="s">
        <v>642</v>
      </c>
    </row>
    <row r="217" spans="1:8" ht="18.75">
      <c r="A217" s="24" t="s">
        <v>38</v>
      </c>
      <c r="B217" s="24" t="s">
        <v>643</v>
      </c>
      <c r="F217" s="25" t="s">
        <v>644</v>
      </c>
      <c r="H217" s="2" t="s">
        <v>645</v>
      </c>
    </row>
    <row r="218" spans="1:8" ht="18.75">
      <c r="A218" s="24" t="s">
        <v>38</v>
      </c>
      <c r="B218" s="24" t="s">
        <v>646</v>
      </c>
      <c r="F218" s="25" t="s">
        <v>647</v>
      </c>
      <c r="H218" s="2" t="s">
        <v>648</v>
      </c>
    </row>
    <row r="219" spans="1:8" ht="18.75">
      <c r="A219" s="24" t="s">
        <v>38</v>
      </c>
      <c r="B219" s="24" t="s">
        <v>649</v>
      </c>
      <c r="F219" s="24" t="s">
        <v>650</v>
      </c>
      <c r="H219" s="2" t="s">
        <v>651</v>
      </c>
    </row>
    <row r="220" spans="1:8" ht="18.75">
      <c r="A220" s="24" t="s">
        <v>38</v>
      </c>
      <c r="B220" s="24" t="s">
        <v>649</v>
      </c>
      <c r="F220" s="25" t="s">
        <v>652</v>
      </c>
      <c r="H220" s="2" t="s">
        <v>653</v>
      </c>
    </row>
    <row r="221" spans="1:8" ht="18.75">
      <c r="A221" s="24" t="s">
        <v>38</v>
      </c>
      <c r="B221" s="24" t="s">
        <v>654</v>
      </c>
      <c r="F221" s="25" t="s">
        <v>655</v>
      </c>
      <c r="H221" s="2" t="s">
        <v>656</v>
      </c>
    </row>
    <row r="222" spans="1:8" ht="18.75">
      <c r="A222" s="24" t="s">
        <v>38</v>
      </c>
      <c r="B222" s="24" t="s">
        <v>657</v>
      </c>
      <c r="F222" s="25" t="s">
        <v>658</v>
      </c>
      <c r="H222" s="2" t="s">
        <v>659</v>
      </c>
    </row>
    <row r="223" spans="1:8" ht="18.75">
      <c r="A223" s="24" t="s">
        <v>38</v>
      </c>
      <c r="B223" s="24" t="s">
        <v>660</v>
      </c>
      <c r="F223" s="25" t="s">
        <v>661</v>
      </c>
      <c r="H223" s="2" t="s">
        <v>662</v>
      </c>
    </row>
    <row r="224" spans="1:8" ht="18.75">
      <c r="A224" s="24" t="s">
        <v>38</v>
      </c>
      <c r="B224" s="24" t="s">
        <v>663</v>
      </c>
      <c r="F224" s="25" t="s">
        <v>664</v>
      </c>
      <c r="H224" s="2" t="s">
        <v>665</v>
      </c>
    </row>
    <row r="225" spans="1:8" ht="18.75">
      <c r="A225" s="24" t="s">
        <v>38</v>
      </c>
      <c r="B225" s="24" t="s">
        <v>666</v>
      </c>
      <c r="F225" s="24" t="s">
        <v>667</v>
      </c>
      <c r="H225" s="2" t="s">
        <v>668</v>
      </c>
    </row>
    <row r="226" spans="1:8" ht="18.75">
      <c r="A226" s="24" t="s">
        <v>38</v>
      </c>
      <c r="B226" s="24" t="s">
        <v>669</v>
      </c>
      <c r="F226" s="25" t="s">
        <v>670</v>
      </c>
      <c r="H226" s="2" t="s">
        <v>671</v>
      </c>
    </row>
    <row r="227" spans="1:8" ht="18.75">
      <c r="A227" s="24" t="s">
        <v>38</v>
      </c>
      <c r="B227" s="24" t="s">
        <v>649</v>
      </c>
      <c r="F227" s="25" t="s">
        <v>672</v>
      </c>
      <c r="H227" s="2" t="s">
        <v>673</v>
      </c>
    </row>
    <row r="228" spans="1:8" ht="18.75">
      <c r="A228" s="24" t="s">
        <v>38</v>
      </c>
      <c r="B228" s="24" t="s">
        <v>674</v>
      </c>
      <c r="F228" s="25" t="s">
        <v>675</v>
      </c>
      <c r="H228" s="2" t="s">
        <v>676</v>
      </c>
    </row>
    <row r="229" spans="1:8" ht="18.75">
      <c r="A229" s="24" t="s">
        <v>38</v>
      </c>
      <c r="B229" s="24" t="s">
        <v>677</v>
      </c>
      <c r="F229" s="25" t="s">
        <v>678</v>
      </c>
      <c r="H229" s="2" t="s">
        <v>679</v>
      </c>
    </row>
    <row r="230" spans="1:8" ht="18.75">
      <c r="A230" s="24" t="s">
        <v>38</v>
      </c>
      <c r="B230" s="24" t="s">
        <v>680</v>
      </c>
      <c r="F230" s="29" t="s">
        <v>681</v>
      </c>
      <c r="H230" s="2" t="s">
        <v>682</v>
      </c>
    </row>
    <row r="231" spans="1:8" ht="18.75">
      <c r="A231" s="24" t="s">
        <v>38</v>
      </c>
      <c r="B231" s="24" t="s">
        <v>683</v>
      </c>
      <c r="F231" s="29" t="s">
        <v>684</v>
      </c>
      <c r="H231" s="2" t="s">
        <v>685</v>
      </c>
    </row>
    <row r="232" spans="1:8" ht="18.75">
      <c r="A232" s="24" t="s">
        <v>38</v>
      </c>
      <c r="B232" s="24" t="s">
        <v>686</v>
      </c>
      <c r="F232" s="29" t="s">
        <v>687</v>
      </c>
      <c r="H232" s="2" t="s">
        <v>688</v>
      </c>
    </row>
    <row r="233" spans="1:8" ht="18.75">
      <c r="A233" s="24" t="s">
        <v>38</v>
      </c>
      <c r="B233" s="24" t="s">
        <v>657</v>
      </c>
      <c r="F233" s="29" t="s">
        <v>689</v>
      </c>
      <c r="H233" s="2" t="s">
        <v>690</v>
      </c>
    </row>
    <row r="234" spans="1:8" ht="18.75">
      <c r="A234" s="24" t="s">
        <v>38</v>
      </c>
      <c r="B234" s="24" t="s">
        <v>649</v>
      </c>
      <c r="F234" s="29" t="s">
        <v>691</v>
      </c>
      <c r="H234" s="2" t="s">
        <v>543</v>
      </c>
    </row>
    <row r="235" spans="1:8" ht="18.75">
      <c r="A235" s="24" t="s">
        <v>38</v>
      </c>
      <c r="B235" s="24" t="s">
        <v>692</v>
      </c>
      <c r="F235" s="29" t="s">
        <v>166</v>
      </c>
      <c r="H235" s="2" t="s">
        <v>693</v>
      </c>
    </row>
    <row r="236" spans="1:8" ht="18.75">
      <c r="A236" s="23" t="s">
        <v>37</v>
      </c>
      <c r="B236" s="23" t="s">
        <v>694</v>
      </c>
      <c r="F236" s="29" t="s">
        <v>695</v>
      </c>
      <c r="H236" s="2" t="s">
        <v>550</v>
      </c>
    </row>
    <row r="237" spans="1:8" ht="18.75">
      <c r="A237" s="24" t="s">
        <v>38</v>
      </c>
      <c r="B237" s="24" t="s">
        <v>696</v>
      </c>
      <c r="F237" s="29" t="s">
        <v>697</v>
      </c>
      <c r="H237" s="2" t="s">
        <v>596</v>
      </c>
    </row>
    <row r="238" spans="1:8" ht="18.75">
      <c r="A238" s="24" t="s">
        <v>38</v>
      </c>
      <c r="B238" s="24" t="s">
        <v>698</v>
      </c>
      <c r="F238" s="25" t="s">
        <v>699</v>
      </c>
      <c r="H238" s="2" t="s">
        <v>700</v>
      </c>
    </row>
    <row r="239" spans="1:8" ht="18.75">
      <c r="A239" s="24" t="s">
        <v>38</v>
      </c>
      <c r="B239" s="24" t="s">
        <v>701</v>
      </c>
      <c r="F239" s="25" t="s">
        <v>702</v>
      </c>
      <c r="H239" s="2" t="s">
        <v>703</v>
      </c>
    </row>
    <row r="240" spans="1:8" ht="18.75">
      <c r="A240" s="24" t="s">
        <v>38</v>
      </c>
      <c r="B240" s="24" t="s">
        <v>704</v>
      </c>
      <c r="F240" s="25" t="s">
        <v>705</v>
      </c>
      <c r="H240" s="2" t="s">
        <v>706</v>
      </c>
    </row>
    <row r="241" spans="1:8" ht="18.75">
      <c r="A241" s="24" t="s">
        <v>38</v>
      </c>
      <c r="B241" s="24" t="s">
        <v>707</v>
      </c>
      <c r="F241" s="25" t="s">
        <v>708</v>
      </c>
      <c r="H241" s="2" t="s">
        <v>709</v>
      </c>
    </row>
    <row r="242" spans="1:8" ht="37.5">
      <c r="A242" s="24" t="s">
        <v>38</v>
      </c>
      <c r="B242" s="30" t="s">
        <v>710</v>
      </c>
      <c r="F242" s="25" t="s">
        <v>711</v>
      </c>
      <c r="H242" s="2" t="s">
        <v>712</v>
      </c>
    </row>
    <row r="243" spans="1:8" ht="18.75">
      <c r="A243" s="23" t="s">
        <v>37</v>
      </c>
      <c r="B243" s="23" t="s">
        <v>713</v>
      </c>
      <c r="F243" s="25" t="s">
        <v>714</v>
      </c>
      <c r="H243" s="2" t="s">
        <v>621</v>
      </c>
    </row>
    <row r="244" spans="1:8" ht="18.75">
      <c r="A244" s="24" t="s">
        <v>38</v>
      </c>
      <c r="B244" s="25" t="s">
        <v>715</v>
      </c>
      <c r="F244" s="25" t="s">
        <v>716</v>
      </c>
      <c r="H244" s="2" t="s">
        <v>717</v>
      </c>
    </row>
    <row r="245" spans="1:8" ht="18.75">
      <c r="A245" s="24" t="s">
        <v>38</v>
      </c>
      <c r="B245" s="25" t="s">
        <v>718</v>
      </c>
      <c r="F245" s="25" t="s">
        <v>719</v>
      </c>
      <c r="H245" s="2" t="s">
        <v>720</v>
      </c>
    </row>
    <row r="246" spans="1:8" ht="18.75">
      <c r="A246" s="24" t="s">
        <v>38</v>
      </c>
      <c r="B246" s="25" t="s">
        <v>721</v>
      </c>
      <c r="F246" s="25" t="s">
        <v>722</v>
      </c>
      <c r="H246" s="2" t="s">
        <v>723</v>
      </c>
    </row>
    <row r="247" spans="1:8" ht="18.75">
      <c r="A247" s="24" t="s">
        <v>38</v>
      </c>
      <c r="B247" s="25" t="s">
        <v>724</v>
      </c>
      <c r="F247" s="25" t="s">
        <v>725</v>
      </c>
      <c r="H247" s="2" t="s">
        <v>726</v>
      </c>
    </row>
    <row r="248" spans="1:8" ht="18.75">
      <c r="A248" s="23" t="s">
        <v>37</v>
      </c>
      <c r="B248" s="23" t="s">
        <v>727</v>
      </c>
      <c r="F248" s="25" t="s">
        <v>728</v>
      </c>
      <c r="H248" s="2" t="s">
        <v>729</v>
      </c>
    </row>
    <row r="249" spans="1:8" ht="18.75">
      <c r="A249" s="24" t="s">
        <v>38</v>
      </c>
      <c r="B249" s="25" t="s">
        <v>730</v>
      </c>
      <c r="F249" s="25" t="s">
        <v>731</v>
      </c>
      <c r="H249" s="2" t="s">
        <v>732</v>
      </c>
    </row>
    <row r="250" spans="1:8" ht="18.75">
      <c r="A250" s="24" t="s">
        <v>38</v>
      </c>
      <c r="B250" s="25" t="s">
        <v>733</v>
      </c>
      <c r="H250" s="2" t="s">
        <v>734</v>
      </c>
    </row>
    <row r="251" spans="1:8" ht="18.75">
      <c r="A251" s="24" t="s">
        <v>38</v>
      </c>
      <c r="B251" s="25" t="s">
        <v>735</v>
      </c>
      <c r="H251" s="2" t="s">
        <v>736</v>
      </c>
    </row>
    <row r="252" spans="1:8" ht="18.75">
      <c r="A252" s="24" t="s">
        <v>38</v>
      </c>
      <c r="B252" s="25" t="s">
        <v>737</v>
      </c>
      <c r="H252" s="2" t="s">
        <v>738</v>
      </c>
    </row>
    <row r="253" spans="1:8" ht="18.75">
      <c r="A253" s="24" t="s">
        <v>38</v>
      </c>
      <c r="B253" s="25" t="s">
        <v>739</v>
      </c>
      <c r="H253" s="2" t="s">
        <v>740</v>
      </c>
    </row>
    <row r="254" spans="1:8" ht="18.75">
      <c r="A254" s="24" t="s">
        <v>38</v>
      </c>
      <c r="B254" s="25" t="s">
        <v>741</v>
      </c>
      <c r="H254" s="2" t="s">
        <v>742</v>
      </c>
    </row>
    <row r="255" spans="1:8" ht="18.75">
      <c r="A255" s="23" t="s">
        <v>37</v>
      </c>
      <c r="B255" s="23" t="s">
        <v>743</v>
      </c>
      <c r="H255" s="2" t="s">
        <v>744</v>
      </c>
    </row>
    <row r="256" spans="1:8" ht="18.75">
      <c r="A256" s="24" t="s">
        <v>38</v>
      </c>
      <c r="B256" s="25" t="s">
        <v>745</v>
      </c>
      <c r="H256" s="2" t="s">
        <v>633</v>
      </c>
    </row>
    <row r="257" spans="1:8" ht="18.75">
      <c r="A257" s="31"/>
      <c r="B257" s="31" t="s">
        <v>746</v>
      </c>
      <c r="H257" s="2" t="s">
        <v>636</v>
      </c>
    </row>
    <row r="258" spans="1:8" ht="18.75">
      <c r="A258" s="23" t="s">
        <v>37</v>
      </c>
      <c r="B258" s="23" t="s">
        <v>747</v>
      </c>
      <c r="H258" s="2" t="s">
        <v>638</v>
      </c>
    </row>
    <row r="259" spans="1:8" ht="18.75">
      <c r="A259" s="24" t="s">
        <v>38</v>
      </c>
      <c r="B259" s="29" t="s">
        <v>748</v>
      </c>
      <c r="H259" s="2" t="s">
        <v>749</v>
      </c>
    </row>
    <row r="260" spans="1:8" ht="18.75">
      <c r="A260" s="24" t="s">
        <v>38</v>
      </c>
      <c r="B260" s="29" t="s">
        <v>750</v>
      </c>
      <c r="H260" s="2" t="s">
        <v>751</v>
      </c>
    </row>
    <row r="261" spans="1:8" ht="18.75">
      <c r="A261" s="24" t="s">
        <v>38</v>
      </c>
      <c r="B261" s="29" t="s">
        <v>752</v>
      </c>
      <c r="H261" s="2" t="s">
        <v>753</v>
      </c>
    </row>
    <row r="262" spans="1:8" ht="18.75">
      <c r="A262" s="24" t="s">
        <v>38</v>
      </c>
      <c r="B262" s="29" t="s">
        <v>754</v>
      </c>
      <c r="H262" s="2" t="s">
        <v>755</v>
      </c>
    </row>
    <row r="263" spans="1:8" ht="18.75">
      <c r="A263" s="23" t="s">
        <v>37</v>
      </c>
      <c r="B263" s="23" t="s">
        <v>756</v>
      </c>
      <c r="H263" s="2" t="s">
        <v>757</v>
      </c>
    </row>
    <row r="264" spans="1:8" ht="18.75">
      <c r="A264" s="24" t="s">
        <v>38</v>
      </c>
      <c r="B264" s="29" t="s">
        <v>758</v>
      </c>
      <c r="H264" s="2" t="s">
        <v>759</v>
      </c>
    </row>
    <row r="265" spans="1:8" ht="18.75">
      <c r="A265" s="24" t="s">
        <v>38</v>
      </c>
      <c r="B265" s="29" t="s">
        <v>760</v>
      </c>
      <c r="H265" s="2" t="s">
        <v>761</v>
      </c>
    </row>
    <row r="266" spans="1:8" ht="18.75">
      <c r="A266" s="23" t="s">
        <v>37</v>
      </c>
      <c r="B266" s="23" t="s">
        <v>762</v>
      </c>
      <c r="H266" s="2" t="s">
        <v>763</v>
      </c>
    </row>
    <row r="267" spans="1:8" ht="18.75">
      <c r="A267" s="24" t="s">
        <v>38</v>
      </c>
      <c r="B267" s="29" t="s">
        <v>764</v>
      </c>
      <c r="H267" s="2" t="s">
        <v>765</v>
      </c>
    </row>
    <row r="268" spans="1:8" ht="18.75">
      <c r="A268" s="24" t="s">
        <v>38</v>
      </c>
      <c r="B268" s="29" t="s">
        <v>766</v>
      </c>
      <c r="H268" s="2" t="s">
        <v>767</v>
      </c>
    </row>
    <row r="269" spans="1:8" ht="18.75">
      <c r="A269" s="24" t="s">
        <v>38</v>
      </c>
      <c r="B269" s="29" t="s">
        <v>768</v>
      </c>
      <c r="H269" s="2" t="s">
        <v>769</v>
      </c>
    </row>
    <row r="270" spans="1:8" ht="18.75">
      <c r="A270" s="23" t="s">
        <v>37</v>
      </c>
      <c r="B270" s="23" t="s">
        <v>770</v>
      </c>
      <c r="H270" s="2" t="s">
        <v>771</v>
      </c>
    </row>
    <row r="271" spans="1:8" ht="18.75">
      <c r="A271" s="24" t="s">
        <v>38</v>
      </c>
      <c r="B271" s="24" t="s">
        <v>772</v>
      </c>
      <c r="H271" s="2" t="s">
        <v>773</v>
      </c>
    </row>
    <row r="272" spans="1:8" ht="18.75">
      <c r="A272" s="24" t="s">
        <v>38</v>
      </c>
      <c r="B272" s="29" t="s">
        <v>774</v>
      </c>
      <c r="H272" s="2" t="s">
        <v>775</v>
      </c>
    </row>
    <row r="273" spans="1:8" ht="18.75">
      <c r="A273" s="24" t="s">
        <v>38</v>
      </c>
      <c r="B273" s="29" t="s">
        <v>776</v>
      </c>
      <c r="H273" s="2" t="s">
        <v>777</v>
      </c>
    </row>
    <row r="274" spans="1:8" ht="18.75">
      <c r="A274" s="24" t="s">
        <v>38</v>
      </c>
      <c r="B274" s="29" t="s">
        <v>778</v>
      </c>
      <c r="H274" s="2" t="s">
        <v>779</v>
      </c>
    </row>
    <row r="275" spans="1:8" ht="18.75">
      <c r="A275" s="24" t="s">
        <v>38</v>
      </c>
      <c r="B275" s="29" t="s">
        <v>780</v>
      </c>
      <c r="H275" s="2" t="s">
        <v>781</v>
      </c>
    </row>
    <row r="276" spans="1:8" ht="18.75">
      <c r="A276" s="24" t="s">
        <v>38</v>
      </c>
      <c r="B276" s="29" t="s">
        <v>782</v>
      </c>
      <c r="H276" s="2" t="s">
        <v>783</v>
      </c>
    </row>
    <row r="277" spans="1:8" ht="18.75">
      <c r="A277" s="24" t="s">
        <v>38</v>
      </c>
      <c r="B277" s="24" t="s">
        <v>784</v>
      </c>
      <c r="H277" s="2" t="s">
        <v>785</v>
      </c>
    </row>
    <row r="278" spans="1:8" ht="18.75">
      <c r="A278" s="24" t="s">
        <v>38</v>
      </c>
      <c r="B278" s="29" t="s">
        <v>786</v>
      </c>
      <c r="H278" s="2" t="s">
        <v>787</v>
      </c>
    </row>
    <row r="279" spans="1:8" ht="18.75">
      <c r="A279" s="24" t="s">
        <v>38</v>
      </c>
      <c r="B279" s="29" t="s">
        <v>788</v>
      </c>
      <c r="H279" s="2" t="s">
        <v>789</v>
      </c>
    </row>
    <row r="280" spans="1:8" ht="18.75">
      <c r="A280" s="24" t="s">
        <v>38</v>
      </c>
      <c r="B280" s="29" t="s">
        <v>790</v>
      </c>
      <c r="H280" s="2" t="s">
        <v>658</v>
      </c>
    </row>
    <row r="281" spans="1:8" ht="18.75">
      <c r="A281" s="24" t="s">
        <v>38</v>
      </c>
      <c r="B281" s="29" t="s">
        <v>791</v>
      </c>
      <c r="H281" s="2" t="s">
        <v>661</v>
      </c>
    </row>
    <row r="282" spans="1:8" ht="18.75">
      <c r="A282" s="24" t="s">
        <v>38</v>
      </c>
      <c r="B282" s="29" t="s">
        <v>792</v>
      </c>
      <c r="H282" s="2" t="s">
        <v>664</v>
      </c>
    </row>
    <row r="283" spans="1:8" ht="18.75">
      <c r="A283" s="24" t="s">
        <v>38</v>
      </c>
      <c r="B283" s="29" t="s">
        <v>793</v>
      </c>
      <c r="H283" s="2" t="s">
        <v>794</v>
      </c>
    </row>
    <row r="284" spans="1:8" ht="18.75">
      <c r="A284" s="24" t="s">
        <v>38</v>
      </c>
      <c r="B284" s="29" t="s">
        <v>795</v>
      </c>
      <c r="H284" s="2" t="s">
        <v>796</v>
      </c>
    </row>
    <row r="285" spans="1:8" ht="18.75">
      <c r="A285" s="24" t="s">
        <v>38</v>
      </c>
      <c r="B285" s="29" t="s">
        <v>797</v>
      </c>
      <c r="H285" s="2" t="s">
        <v>798</v>
      </c>
    </row>
    <row r="286" spans="1:8" ht="18.75">
      <c r="A286" s="24" t="s">
        <v>38</v>
      </c>
      <c r="B286" s="29" t="s">
        <v>799</v>
      </c>
      <c r="H286" s="2" t="s">
        <v>800</v>
      </c>
    </row>
    <row r="287" spans="1:8" ht="18.75">
      <c r="A287" s="24" t="s">
        <v>38</v>
      </c>
      <c r="B287" s="29" t="s">
        <v>801</v>
      </c>
      <c r="H287" s="2" t="s">
        <v>675</v>
      </c>
    </row>
    <row r="288" spans="1:8" ht="18.75">
      <c r="A288" s="23" t="s">
        <v>37</v>
      </c>
      <c r="B288" s="23" t="s">
        <v>694</v>
      </c>
      <c r="H288" s="2" t="s">
        <v>802</v>
      </c>
    </row>
    <row r="289" spans="1:8" ht="18.75">
      <c r="A289" s="24" t="s">
        <v>38</v>
      </c>
      <c r="B289" s="29" t="s">
        <v>803</v>
      </c>
      <c r="H289" s="2" t="s">
        <v>804</v>
      </c>
    </row>
    <row r="290" spans="1:8" ht="18.75">
      <c r="A290" s="24" t="s">
        <v>38</v>
      </c>
      <c r="B290" s="29" t="s">
        <v>805</v>
      </c>
      <c r="H290" s="2" t="s">
        <v>806</v>
      </c>
    </row>
    <row r="291" spans="1:8" ht="18.75">
      <c r="A291" s="24" t="s">
        <v>38</v>
      </c>
      <c r="B291" s="29" t="s">
        <v>807</v>
      </c>
      <c r="H291" s="2" t="s">
        <v>808</v>
      </c>
    </row>
    <row r="292" spans="1:8" ht="18.75">
      <c r="A292" s="23" t="s">
        <v>37</v>
      </c>
      <c r="B292" s="23" t="s">
        <v>809</v>
      </c>
      <c r="H292" s="2" t="s">
        <v>691</v>
      </c>
    </row>
    <row r="293" spans="1:8" ht="18.75">
      <c r="A293" s="24" t="s">
        <v>38</v>
      </c>
      <c r="B293" s="29" t="s">
        <v>810</v>
      </c>
      <c r="H293" s="2" t="s">
        <v>166</v>
      </c>
    </row>
    <row r="294" spans="1:8" ht="18.75">
      <c r="A294" s="24" t="s">
        <v>38</v>
      </c>
      <c r="B294" s="29" t="s">
        <v>811</v>
      </c>
      <c r="H294" s="2" t="s">
        <v>812</v>
      </c>
    </row>
    <row r="295" spans="1:8" ht="18.75">
      <c r="A295" s="24" t="s">
        <v>38</v>
      </c>
      <c r="B295" s="29" t="s">
        <v>813</v>
      </c>
      <c r="H295" s="2" t="s">
        <v>814</v>
      </c>
    </row>
    <row r="296" spans="1:8">
      <c r="H296" s="2" t="s">
        <v>815</v>
      </c>
    </row>
    <row r="297" spans="1:8">
      <c r="H297" s="2" t="s">
        <v>695</v>
      </c>
    </row>
    <row r="298" spans="1:8">
      <c r="H298" s="2" t="s">
        <v>816</v>
      </c>
    </row>
    <row r="299" spans="1:8">
      <c r="H299" s="2" t="s">
        <v>817</v>
      </c>
    </row>
    <row r="300" spans="1:8">
      <c r="H300" s="2" t="s">
        <v>818</v>
      </c>
    </row>
    <row r="301" spans="1:8">
      <c r="H301" s="2" t="s">
        <v>819</v>
      </c>
    </row>
    <row r="302" spans="1:8">
      <c r="H302" s="2" t="s">
        <v>820</v>
      </c>
    </row>
    <row r="303" spans="1:8">
      <c r="H303" s="2" t="s">
        <v>714</v>
      </c>
    </row>
    <row r="304" spans="1:8">
      <c r="H304" s="2" t="s">
        <v>716</v>
      </c>
    </row>
    <row r="305" spans="8:8">
      <c r="H305" s="2" t="s">
        <v>719</v>
      </c>
    </row>
    <row r="306" spans="8:8">
      <c r="H306" s="2" t="s">
        <v>722</v>
      </c>
    </row>
    <row r="307" spans="8:8">
      <c r="H307" s="2" t="s">
        <v>725</v>
      </c>
    </row>
    <row r="308" spans="8:8">
      <c r="H308" s="2" t="s">
        <v>821</v>
      </c>
    </row>
    <row r="309" spans="8:8">
      <c r="H309" s="2" t="s">
        <v>728</v>
      </c>
    </row>
    <row r="310" spans="8:8">
      <c r="H310" s="2" t="s">
        <v>731</v>
      </c>
    </row>
  </sheetData>
  <autoFilter ref="D1:F295" xr:uid="{9D28451C-7BD3-4129-BB36-881E8006BD2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37F1-7AB6-4E15-AB4E-B68326608D01}">
  <sheetPr>
    <tabColor rgb="FF00392F"/>
    <pageSetUpPr fitToPage="1"/>
  </sheetPr>
  <dimension ref="A1:AJ51"/>
  <sheetViews>
    <sheetView showGridLines="0" zoomScale="85" zoomScaleNormal="85" workbookViewId="0">
      <pane ySplit="4" topLeftCell="A5" activePane="bottomLeft" state="frozen"/>
      <selection pane="bottomLeft" activeCell="A15" sqref="A15"/>
    </sheetView>
  </sheetViews>
  <sheetFormatPr defaultRowHeight="15"/>
  <cols>
    <col min="1" max="1" width="28.7109375" style="102" bestFit="1" customWidth="1"/>
    <col min="2" max="29" width="3.7109375" style="102" customWidth="1"/>
    <col min="30" max="32" width="4.42578125" style="102" customWidth="1"/>
    <col min="33" max="33" width="3.7109375" style="102" customWidth="1"/>
    <col min="34" max="34" width="27.140625" style="102" bestFit="1" customWidth="1"/>
    <col min="35" max="36" width="9.140625" style="104"/>
    <col min="37" max="16384" width="9.140625" style="102"/>
  </cols>
  <sheetData>
    <row r="1" spans="1:36" s="2" customFormat="1" ht="23.25" customHeight="1">
      <c r="A1" s="95" t="s">
        <v>0</v>
      </c>
      <c r="B1" s="113" t="s">
        <v>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"/>
      <c r="AI1" s="7"/>
      <c r="AJ1" s="5"/>
    </row>
    <row r="2" spans="1:36" s="2" customFormat="1" ht="15.75" customHeight="1">
      <c r="A2" s="35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3" t="s">
        <v>2</v>
      </c>
      <c r="AI2" s="8" t="s">
        <v>822</v>
      </c>
      <c r="AJ2" s="5"/>
    </row>
    <row r="3" spans="1:36" s="2" customFormat="1">
      <c r="A3" s="38" t="s">
        <v>4</v>
      </c>
      <c r="B3" s="4">
        <v>1</v>
      </c>
      <c r="C3" s="4">
        <f>B3+1</f>
        <v>2</v>
      </c>
      <c r="D3" s="4">
        <f t="shared" ref="D3:V3" si="0">C3+1</f>
        <v>3</v>
      </c>
      <c r="E3" s="4">
        <f t="shared" si="0"/>
        <v>4</v>
      </c>
      <c r="F3" s="4">
        <f t="shared" si="0"/>
        <v>5</v>
      </c>
      <c r="G3" s="4">
        <f t="shared" si="0"/>
        <v>6</v>
      </c>
      <c r="H3" s="4">
        <f t="shared" si="0"/>
        <v>7</v>
      </c>
      <c r="I3" s="4">
        <f t="shared" si="0"/>
        <v>8</v>
      </c>
      <c r="J3" s="4">
        <f t="shared" si="0"/>
        <v>9</v>
      </c>
      <c r="K3" s="4">
        <f t="shared" si="0"/>
        <v>10</v>
      </c>
      <c r="L3" s="4">
        <f t="shared" si="0"/>
        <v>11</v>
      </c>
      <c r="M3" s="4">
        <f>L3+1</f>
        <v>12</v>
      </c>
      <c r="N3" s="4">
        <f t="shared" si="0"/>
        <v>13</v>
      </c>
      <c r="O3" s="4">
        <f t="shared" si="0"/>
        <v>14</v>
      </c>
      <c r="P3" s="4">
        <f t="shared" si="0"/>
        <v>15</v>
      </c>
      <c r="Q3" s="4">
        <f t="shared" si="0"/>
        <v>16</v>
      </c>
      <c r="R3" s="4">
        <f t="shared" si="0"/>
        <v>17</v>
      </c>
      <c r="S3" s="4">
        <f t="shared" si="0"/>
        <v>18</v>
      </c>
      <c r="T3" s="4">
        <f t="shared" si="0"/>
        <v>19</v>
      </c>
      <c r="U3" s="4">
        <f t="shared" si="0"/>
        <v>20</v>
      </c>
      <c r="V3" s="4">
        <f t="shared" si="0"/>
        <v>21</v>
      </c>
      <c r="W3" s="4">
        <f>V3+1</f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/>
      <c r="AH3" s="33" t="s">
        <v>5</v>
      </c>
      <c r="AI3" s="37">
        <f>SUM(AI7:AI13,AI16:AI20,AI23:AI27,AI30:AI33,AI36:AI37,AI40,AI43,AI46:AI47,AI50:AI51)</f>
        <v>717.5</v>
      </c>
      <c r="AJ3" s="5"/>
    </row>
    <row r="4" spans="1:36" s="2" customFormat="1">
      <c r="A4" s="39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41"/>
      <c r="AI4" s="40"/>
      <c r="AJ4" s="5"/>
    </row>
    <row r="5" spans="1:36" s="2" customFormat="1" ht="10.5" customHeight="1">
      <c r="B5" s="100"/>
      <c r="C5" s="5"/>
      <c r="D5" s="5"/>
      <c r="E5" s="5"/>
      <c r="F5" s="5"/>
      <c r="G5" s="5"/>
      <c r="H5" s="101"/>
      <c r="I5" s="101"/>
      <c r="J5" s="5"/>
      <c r="K5" s="5"/>
      <c r="L5" s="5"/>
      <c r="M5" s="5"/>
      <c r="N5" s="5"/>
      <c r="O5" s="101"/>
      <c r="P5" s="101"/>
      <c r="Q5" s="5"/>
      <c r="R5" s="5"/>
      <c r="S5" s="5"/>
      <c r="T5" s="5"/>
      <c r="U5" s="5"/>
      <c r="V5" s="101"/>
      <c r="W5" s="101"/>
      <c r="X5" s="5"/>
      <c r="Y5" s="5"/>
      <c r="Z5" s="5"/>
      <c r="AA5" s="5"/>
      <c r="AB5" s="5"/>
      <c r="AC5" s="101"/>
      <c r="AD5" s="101"/>
      <c r="AE5" s="5"/>
      <c r="AF5" s="5"/>
      <c r="AG5" s="5"/>
      <c r="AH5" s="17"/>
      <c r="AI5" s="5"/>
      <c r="AJ5" s="5"/>
    </row>
    <row r="6" spans="1:36" s="2" customFormat="1">
      <c r="A6" s="107" t="s">
        <v>6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9"/>
      <c r="AJ6" s="5"/>
    </row>
    <row r="7" spans="1:36" s="2" customFormat="1" ht="15" customHeight="1">
      <c r="A7" s="88" t="s">
        <v>10</v>
      </c>
      <c r="B7" s="89"/>
      <c r="C7" s="90">
        <v>1</v>
      </c>
      <c r="D7" s="90">
        <v>1</v>
      </c>
      <c r="E7" s="90">
        <v>2</v>
      </c>
      <c r="F7" s="91">
        <v>2</v>
      </c>
      <c r="G7" s="91">
        <v>2</v>
      </c>
      <c r="H7" s="89"/>
      <c r="I7" s="89"/>
      <c r="J7" s="91">
        <v>1</v>
      </c>
      <c r="K7" s="90">
        <v>2</v>
      </c>
      <c r="L7" s="90">
        <v>2</v>
      </c>
      <c r="M7" s="91">
        <v>2</v>
      </c>
      <c r="N7" s="91">
        <v>2</v>
      </c>
      <c r="O7" s="89"/>
      <c r="P7" s="89"/>
      <c r="Q7" s="91">
        <v>2</v>
      </c>
      <c r="R7" s="91">
        <v>2</v>
      </c>
      <c r="S7" s="91">
        <v>2</v>
      </c>
      <c r="T7" s="91">
        <v>2</v>
      </c>
      <c r="U7" s="91">
        <v>2</v>
      </c>
      <c r="V7" s="89"/>
      <c r="W7" s="89"/>
      <c r="X7" s="91">
        <v>2</v>
      </c>
      <c r="Y7" s="90">
        <v>2</v>
      </c>
      <c r="Z7" s="90">
        <v>2</v>
      </c>
      <c r="AA7" s="90">
        <v>2</v>
      </c>
      <c r="AB7" s="90">
        <v>3</v>
      </c>
      <c r="AC7" s="89"/>
      <c r="AD7" s="89"/>
      <c r="AE7" s="91">
        <v>3</v>
      </c>
      <c r="AF7" s="92">
        <v>3</v>
      </c>
      <c r="AG7" s="5"/>
      <c r="AH7" s="88" t="str">
        <f>A7</f>
        <v>Pedreiro</v>
      </c>
      <c r="AI7" s="93">
        <f t="shared" ref="AI7:AI13" si="1">SUM(B7:AF7)</f>
        <v>44</v>
      </c>
      <c r="AJ7" s="5"/>
    </row>
    <row r="8" spans="1:36" s="2" customFormat="1">
      <c r="A8" s="61" t="s">
        <v>9</v>
      </c>
      <c r="B8" s="55"/>
      <c r="C8" s="73"/>
      <c r="D8" s="73"/>
      <c r="E8" s="73"/>
      <c r="F8" s="56"/>
      <c r="G8" s="56"/>
      <c r="H8" s="55"/>
      <c r="I8" s="55"/>
      <c r="J8" s="56"/>
      <c r="K8" s="73"/>
      <c r="L8" s="73"/>
      <c r="M8" s="56"/>
      <c r="N8" s="56"/>
      <c r="O8" s="55"/>
      <c r="P8" s="55"/>
      <c r="Q8" s="56"/>
      <c r="R8" s="56"/>
      <c r="S8" s="56"/>
      <c r="T8" s="56"/>
      <c r="U8" s="56"/>
      <c r="V8" s="55"/>
      <c r="W8" s="55"/>
      <c r="X8" s="56"/>
      <c r="Y8" s="73"/>
      <c r="Z8" s="73"/>
      <c r="AA8" s="73"/>
      <c r="AB8" s="73"/>
      <c r="AC8" s="55"/>
      <c r="AD8" s="55"/>
      <c r="AE8" s="56"/>
      <c r="AF8" s="62"/>
      <c r="AG8" s="5"/>
      <c r="AH8" s="88" t="str">
        <f t="shared" ref="AH8:AH13" si="2">A8</f>
        <v>Meio Oficial</v>
      </c>
      <c r="AI8" s="68">
        <f t="shared" si="1"/>
        <v>0</v>
      </c>
      <c r="AJ8" s="5"/>
    </row>
    <row r="9" spans="1:36" s="2" customFormat="1">
      <c r="A9" s="61" t="s">
        <v>7</v>
      </c>
      <c r="B9" s="55"/>
      <c r="C9" s="73">
        <v>3</v>
      </c>
      <c r="D9" s="73">
        <v>3</v>
      </c>
      <c r="E9" s="73">
        <v>3</v>
      </c>
      <c r="F9" s="56">
        <v>3</v>
      </c>
      <c r="G9" s="56">
        <v>3</v>
      </c>
      <c r="H9" s="55"/>
      <c r="I9" s="55"/>
      <c r="J9" s="56">
        <v>2</v>
      </c>
      <c r="K9" s="73">
        <v>2</v>
      </c>
      <c r="L9" s="73">
        <v>3</v>
      </c>
      <c r="M9" s="56">
        <v>3</v>
      </c>
      <c r="N9" s="56">
        <v>3</v>
      </c>
      <c r="O9" s="55"/>
      <c r="P9" s="55"/>
      <c r="Q9" s="56">
        <v>2</v>
      </c>
      <c r="R9" s="56">
        <v>2</v>
      </c>
      <c r="S9" s="56">
        <v>3</v>
      </c>
      <c r="T9" s="56">
        <v>2</v>
      </c>
      <c r="U9" s="56">
        <v>3</v>
      </c>
      <c r="V9" s="55"/>
      <c r="W9" s="55"/>
      <c r="X9" s="56">
        <v>3</v>
      </c>
      <c r="Y9" s="73">
        <v>1</v>
      </c>
      <c r="Z9" s="73">
        <v>1</v>
      </c>
      <c r="AA9" s="73">
        <v>1</v>
      </c>
      <c r="AB9" s="73">
        <v>1</v>
      </c>
      <c r="AC9" s="55"/>
      <c r="AD9" s="55"/>
      <c r="AE9" s="56">
        <v>1</v>
      </c>
      <c r="AF9" s="62">
        <v>2</v>
      </c>
      <c r="AG9" s="5"/>
      <c r="AH9" s="88" t="str">
        <f t="shared" si="2"/>
        <v>Servente</v>
      </c>
      <c r="AI9" s="68">
        <f t="shared" si="1"/>
        <v>50</v>
      </c>
      <c r="AJ9" s="5"/>
    </row>
    <row r="10" spans="1:36" s="2" customFormat="1">
      <c r="A10" s="61" t="s">
        <v>14</v>
      </c>
      <c r="B10" s="55"/>
      <c r="C10" s="73"/>
      <c r="D10" s="73"/>
      <c r="E10" s="73"/>
      <c r="F10" s="56"/>
      <c r="G10" s="56"/>
      <c r="H10" s="55"/>
      <c r="I10" s="55"/>
      <c r="J10" s="56"/>
      <c r="K10" s="73"/>
      <c r="L10" s="73"/>
      <c r="M10" s="56"/>
      <c r="N10" s="56"/>
      <c r="O10" s="55"/>
      <c r="P10" s="55"/>
      <c r="Q10" s="56"/>
      <c r="R10" s="73"/>
      <c r="S10" s="73"/>
      <c r="T10" s="56"/>
      <c r="U10" s="56"/>
      <c r="V10" s="55"/>
      <c r="W10" s="55"/>
      <c r="X10" s="56"/>
      <c r="Y10" s="73"/>
      <c r="Z10" s="73"/>
      <c r="AA10" s="56"/>
      <c r="AB10" s="56"/>
      <c r="AC10" s="55"/>
      <c r="AD10" s="55"/>
      <c r="AE10" s="56"/>
      <c r="AF10" s="62"/>
      <c r="AG10" s="5"/>
      <c r="AH10" s="88" t="str">
        <f t="shared" si="2"/>
        <v>Encarregado</v>
      </c>
      <c r="AI10" s="68">
        <f t="shared" si="1"/>
        <v>0</v>
      </c>
      <c r="AJ10" s="5"/>
    </row>
    <row r="11" spans="1:36" s="2" customFormat="1">
      <c r="A11" s="61" t="s">
        <v>20</v>
      </c>
      <c r="B11" s="55"/>
      <c r="C11" s="73"/>
      <c r="D11" s="73"/>
      <c r="E11" s="73"/>
      <c r="F11" s="56"/>
      <c r="G11" s="56"/>
      <c r="H11" s="55"/>
      <c r="I11" s="55"/>
      <c r="J11" s="56"/>
      <c r="K11" s="73"/>
      <c r="L11" s="73"/>
      <c r="M11" s="56"/>
      <c r="N11" s="56"/>
      <c r="O11" s="55"/>
      <c r="P11" s="55"/>
      <c r="Q11" s="56"/>
      <c r="R11" s="73"/>
      <c r="S11" s="73"/>
      <c r="T11" s="56"/>
      <c r="U11" s="56"/>
      <c r="V11" s="55"/>
      <c r="W11" s="55"/>
      <c r="X11" s="56"/>
      <c r="Y11" s="73"/>
      <c r="Z11" s="73"/>
      <c r="AA11" s="56"/>
      <c r="AB11" s="56"/>
      <c r="AC11" s="55"/>
      <c r="AD11" s="55"/>
      <c r="AE11" s="56"/>
      <c r="AF11" s="62"/>
      <c r="AG11" s="5"/>
      <c r="AH11" s="88" t="str">
        <f t="shared" si="2"/>
        <v>Armador</v>
      </c>
      <c r="AI11" s="68">
        <f t="shared" si="1"/>
        <v>0</v>
      </c>
      <c r="AJ11" s="5"/>
    </row>
    <row r="12" spans="1:36" s="2" customFormat="1">
      <c r="A12" s="61" t="s">
        <v>13</v>
      </c>
      <c r="B12" s="55"/>
      <c r="C12" s="73"/>
      <c r="D12" s="73"/>
      <c r="E12" s="73"/>
      <c r="F12" s="56"/>
      <c r="G12" s="56"/>
      <c r="H12" s="55"/>
      <c r="I12" s="55"/>
      <c r="J12" s="56"/>
      <c r="K12" s="73"/>
      <c r="L12" s="73"/>
      <c r="M12" s="56"/>
      <c r="N12" s="56"/>
      <c r="O12" s="55"/>
      <c r="P12" s="55"/>
      <c r="Q12" s="56"/>
      <c r="R12" s="73"/>
      <c r="S12" s="73"/>
      <c r="T12" s="56"/>
      <c r="U12" s="56"/>
      <c r="V12" s="55"/>
      <c r="W12" s="55"/>
      <c r="X12" s="56"/>
      <c r="Y12" s="73"/>
      <c r="Z12" s="73"/>
      <c r="AA12" s="56"/>
      <c r="AB12" s="56"/>
      <c r="AC12" s="55"/>
      <c r="AD12" s="55"/>
      <c r="AE12" s="56"/>
      <c r="AF12" s="62"/>
      <c r="AG12" s="5"/>
      <c r="AH12" s="88" t="str">
        <f t="shared" si="2"/>
        <v>Operador de Argamassadeira</v>
      </c>
      <c r="AI12" s="68">
        <f t="shared" si="1"/>
        <v>0</v>
      </c>
      <c r="AJ12" s="5"/>
    </row>
    <row r="13" spans="1:36" s="2" customFormat="1">
      <c r="A13" s="63" t="s">
        <v>33</v>
      </c>
      <c r="B13" s="64"/>
      <c r="C13" s="74"/>
      <c r="D13" s="74"/>
      <c r="E13" s="74"/>
      <c r="F13" s="74"/>
      <c r="G13" s="74"/>
      <c r="H13" s="64"/>
      <c r="I13" s="64"/>
      <c r="J13" s="74"/>
      <c r="K13" s="74"/>
      <c r="L13" s="74"/>
      <c r="M13" s="74"/>
      <c r="N13" s="74"/>
      <c r="O13" s="64"/>
      <c r="P13" s="64"/>
      <c r="Q13" s="74"/>
      <c r="R13" s="74"/>
      <c r="S13" s="74"/>
      <c r="T13" s="74"/>
      <c r="U13" s="74"/>
      <c r="V13" s="64"/>
      <c r="W13" s="64"/>
      <c r="X13" s="65"/>
      <c r="Y13" s="74"/>
      <c r="Z13" s="74"/>
      <c r="AA13" s="74"/>
      <c r="AB13" s="65"/>
      <c r="AC13" s="64"/>
      <c r="AD13" s="64"/>
      <c r="AE13" s="65"/>
      <c r="AF13" s="66"/>
      <c r="AG13" s="5"/>
      <c r="AH13" s="88" t="str">
        <f t="shared" si="2"/>
        <v>Betoneiro</v>
      </c>
      <c r="AI13" s="69">
        <f t="shared" si="1"/>
        <v>0</v>
      </c>
      <c r="AJ13" s="5"/>
    </row>
    <row r="14" spans="1:36">
      <c r="B14" s="103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5"/>
    </row>
    <row r="15" spans="1:36" s="2" customFormat="1">
      <c r="A15" s="110" t="s">
        <v>823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08"/>
      <c r="AH15" s="108"/>
      <c r="AI15" s="109"/>
      <c r="AJ15" s="5"/>
    </row>
    <row r="16" spans="1:36" s="2" customFormat="1">
      <c r="A16" s="20" t="s">
        <v>10</v>
      </c>
      <c r="B16" s="19"/>
      <c r="C16" s="70">
        <v>2</v>
      </c>
      <c r="D16" s="70">
        <v>1</v>
      </c>
      <c r="E16" s="70">
        <v>2</v>
      </c>
      <c r="F16" s="42">
        <v>2</v>
      </c>
      <c r="G16" s="42">
        <v>1</v>
      </c>
      <c r="H16" s="19"/>
      <c r="I16" s="19"/>
      <c r="J16" s="42">
        <v>2</v>
      </c>
      <c r="K16" s="70">
        <v>2</v>
      </c>
      <c r="L16" s="70">
        <v>2</v>
      </c>
      <c r="M16" s="42">
        <v>2</v>
      </c>
      <c r="N16" s="42">
        <v>2</v>
      </c>
      <c r="O16" s="19"/>
      <c r="P16" s="19"/>
      <c r="Q16" s="91">
        <v>2</v>
      </c>
      <c r="R16" s="91">
        <v>2</v>
      </c>
      <c r="S16" s="91">
        <v>1</v>
      </c>
      <c r="T16" s="42">
        <v>1</v>
      </c>
      <c r="U16" s="42">
        <v>2</v>
      </c>
      <c r="V16" s="19"/>
      <c r="W16" s="19"/>
      <c r="X16" s="42">
        <v>2</v>
      </c>
      <c r="Y16" s="90">
        <v>2</v>
      </c>
      <c r="Z16" s="70">
        <v>1</v>
      </c>
      <c r="AA16" s="42">
        <v>2</v>
      </c>
      <c r="AB16" s="42">
        <v>2</v>
      </c>
      <c r="AC16" s="19"/>
      <c r="AD16" s="19"/>
      <c r="AE16" s="42">
        <v>1</v>
      </c>
      <c r="AF16" s="45">
        <v>2</v>
      </c>
      <c r="AG16" s="5"/>
      <c r="AH16" s="88" t="str">
        <f>A16</f>
        <v>Pedreiro</v>
      </c>
      <c r="AI16" s="94">
        <f>SUM(B16:AF16)</f>
        <v>38</v>
      </c>
      <c r="AJ16" s="5"/>
    </row>
    <row r="17" spans="1:36" s="2" customFormat="1">
      <c r="A17" s="21" t="s">
        <v>9</v>
      </c>
      <c r="B17" s="10"/>
      <c r="C17" s="71"/>
      <c r="D17" s="71"/>
      <c r="E17" s="71"/>
      <c r="F17" s="43"/>
      <c r="G17" s="43"/>
      <c r="H17" s="10"/>
      <c r="I17" s="10"/>
      <c r="J17" s="43"/>
      <c r="K17" s="71"/>
      <c r="L17" s="71"/>
      <c r="M17" s="43"/>
      <c r="N17" s="43"/>
      <c r="O17" s="10"/>
      <c r="P17" s="10"/>
      <c r="Q17" s="56"/>
      <c r="R17" s="56"/>
      <c r="S17" s="56"/>
      <c r="T17" s="43"/>
      <c r="U17" s="43"/>
      <c r="V17" s="10"/>
      <c r="W17" s="10"/>
      <c r="X17" s="43"/>
      <c r="Y17" s="73"/>
      <c r="Z17" s="71"/>
      <c r="AA17" s="43"/>
      <c r="AB17" s="43"/>
      <c r="AC17" s="10"/>
      <c r="AD17" s="10"/>
      <c r="AE17" s="43"/>
      <c r="AF17" s="46"/>
      <c r="AG17" s="5"/>
      <c r="AH17" s="88" t="str">
        <f t="shared" ref="AH17:AH20" si="3">A17</f>
        <v>Meio Oficial</v>
      </c>
      <c r="AI17" s="85">
        <f>SUM(B17:AF17)</f>
        <v>0</v>
      </c>
      <c r="AJ17" s="5"/>
    </row>
    <row r="18" spans="1:36" s="2" customFormat="1">
      <c r="A18" s="21" t="s">
        <v>7</v>
      </c>
      <c r="B18" s="10"/>
      <c r="C18" s="71">
        <v>2</v>
      </c>
      <c r="D18" s="71">
        <v>2</v>
      </c>
      <c r="E18" s="71">
        <v>2</v>
      </c>
      <c r="F18" s="43">
        <v>2</v>
      </c>
      <c r="G18" s="43">
        <v>2</v>
      </c>
      <c r="H18" s="10"/>
      <c r="I18" s="10"/>
      <c r="J18" s="43">
        <v>1</v>
      </c>
      <c r="K18" s="71">
        <v>2</v>
      </c>
      <c r="L18" s="71">
        <v>2</v>
      </c>
      <c r="M18" s="43">
        <v>2</v>
      </c>
      <c r="N18" s="43">
        <v>2</v>
      </c>
      <c r="O18" s="10"/>
      <c r="P18" s="10"/>
      <c r="Q18" s="56">
        <v>2</v>
      </c>
      <c r="R18" s="56">
        <v>2</v>
      </c>
      <c r="S18" s="56">
        <v>2</v>
      </c>
      <c r="T18" s="43">
        <v>2</v>
      </c>
      <c r="U18" s="43">
        <v>2</v>
      </c>
      <c r="V18" s="10"/>
      <c r="W18" s="10"/>
      <c r="X18" s="43">
        <v>2</v>
      </c>
      <c r="Y18" s="73">
        <v>2</v>
      </c>
      <c r="Z18" s="71">
        <v>2</v>
      </c>
      <c r="AA18" s="43">
        <v>2</v>
      </c>
      <c r="AB18" s="43">
        <v>2</v>
      </c>
      <c r="AC18" s="10"/>
      <c r="AD18" s="10"/>
      <c r="AE18" s="43">
        <v>2</v>
      </c>
      <c r="AF18" s="46">
        <v>2</v>
      </c>
      <c r="AG18" s="5"/>
      <c r="AH18" s="88" t="str">
        <f t="shared" si="3"/>
        <v>Servente</v>
      </c>
      <c r="AI18" s="85">
        <f>SUM(B18:AF18)</f>
        <v>43</v>
      </c>
      <c r="AJ18" s="5"/>
    </row>
    <row r="19" spans="1:36" s="2" customFormat="1">
      <c r="A19" s="21" t="s">
        <v>14</v>
      </c>
      <c r="B19" s="10"/>
      <c r="C19" s="71"/>
      <c r="D19" s="71"/>
      <c r="E19" s="71"/>
      <c r="F19" s="43"/>
      <c r="G19" s="43"/>
      <c r="H19" s="10"/>
      <c r="I19" s="10"/>
      <c r="J19" s="43"/>
      <c r="K19" s="71"/>
      <c r="L19" s="71"/>
      <c r="M19" s="43"/>
      <c r="N19" s="43"/>
      <c r="O19" s="10"/>
      <c r="P19" s="10"/>
      <c r="Q19" s="43"/>
      <c r="R19" s="71"/>
      <c r="S19" s="71"/>
      <c r="T19" s="43"/>
      <c r="U19" s="43"/>
      <c r="V19" s="10"/>
      <c r="W19" s="10"/>
      <c r="X19" s="43"/>
      <c r="Y19" s="71"/>
      <c r="Z19" s="71"/>
      <c r="AA19" s="43"/>
      <c r="AB19" s="43"/>
      <c r="AC19" s="10"/>
      <c r="AD19" s="10"/>
      <c r="AE19" s="43"/>
      <c r="AF19" s="46"/>
      <c r="AG19" s="5"/>
      <c r="AH19" s="88" t="str">
        <f t="shared" si="3"/>
        <v>Encarregado</v>
      </c>
      <c r="AI19" s="85">
        <f>SUM(B19:AF19)</f>
        <v>0</v>
      </c>
      <c r="AJ19" s="5"/>
    </row>
    <row r="20" spans="1:36" s="2" customFormat="1">
      <c r="A20" s="11" t="s">
        <v>20</v>
      </c>
      <c r="B20" s="15"/>
      <c r="C20" s="9"/>
      <c r="D20" s="9"/>
      <c r="E20" s="9"/>
      <c r="F20" s="44"/>
      <c r="G20" s="44"/>
      <c r="H20" s="15"/>
      <c r="I20" s="15"/>
      <c r="J20" s="44"/>
      <c r="K20" s="9"/>
      <c r="L20" s="9"/>
      <c r="M20" s="44"/>
      <c r="N20" s="44"/>
      <c r="O20" s="15"/>
      <c r="P20" s="15"/>
      <c r="Q20" s="44"/>
      <c r="R20" s="9"/>
      <c r="S20" s="9"/>
      <c r="T20" s="44"/>
      <c r="U20" s="44"/>
      <c r="V20" s="15"/>
      <c r="W20" s="15"/>
      <c r="X20" s="44"/>
      <c r="Y20" s="9"/>
      <c r="Z20" s="9"/>
      <c r="AA20" s="44"/>
      <c r="AB20" s="44"/>
      <c r="AC20" s="15"/>
      <c r="AD20" s="15"/>
      <c r="AE20" s="44"/>
      <c r="AF20" s="47"/>
      <c r="AG20" s="5"/>
      <c r="AH20" s="88" t="str">
        <f t="shared" si="3"/>
        <v>Armador</v>
      </c>
      <c r="AI20" s="18">
        <f>SUM(B20:AF20)</f>
        <v>0</v>
      </c>
      <c r="AJ20" s="5"/>
    </row>
    <row r="21" spans="1:36">
      <c r="B21" s="103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5"/>
    </row>
    <row r="22" spans="1:36" s="2" customFormat="1">
      <c r="A22" s="107" t="s">
        <v>17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9"/>
      <c r="AJ22" s="5"/>
    </row>
    <row r="23" spans="1:36" s="2" customFormat="1">
      <c r="A23" s="88" t="s">
        <v>10</v>
      </c>
      <c r="B23" s="89"/>
      <c r="C23" s="90">
        <v>1</v>
      </c>
      <c r="D23" s="90">
        <v>2</v>
      </c>
      <c r="E23" s="90">
        <v>2</v>
      </c>
      <c r="F23" s="91">
        <v>2</v>
      </c>
      <c r="G23" s="91">
        <v>2</v>
      </c>
      <c r="H23" s="89"/>
      <c r="I23" s="89"/>
      <c r="J23" s="91">
        <v>1</v>
      </c>
      <c r="K23" s="90">
        <v>1</v>
      </c>
      <c r="L23" s="90">
        <v>2</v>
      </c>
      <c r="M23" s="91">
        <v>1</v>
      </c>
      <c r="N23" s="91">
        <v>2</v>
      </c>
      <c r="O23" s="89"/>
      <c r="P23" s="89"/>
      <c r="Q23" s="91">
        <v>2</v>
      </c>
      <c r="R23" s="91">
        <v>2</v>
      </c>
      <c r="S23" s="91">
        <v>1</v>
      </c>
      <c r="T23" s="91">
        <v>1</v>
      </c>
      <c r="U23" s="91">
        <v>1</v>
      </c>
      <c r="V23" s="89"/>
      <c r="W23" s="89"/>
      <c r="X23" s="91">
        <v>1</v>
      </c>
      <c r="Y23" s="90">
        <v>2</v>
      </c>
      <c r="Z23" s="90">
        <v>2</v>
      </c>
      <c r="AA23" s="90">
        <v>2</v>
      </c>
      <c r="AB23" s="90">
        <v>2</v>
      </c>
      <c r="AC23" s="89"/>
      <c r="AD23" s="89"/>
      <c r="AE23" s="91">
        <v>1</v>
      </c>
      <c r="AF23" s="92">
        <v>2</v>
      </c>
      <c r="AG23" s="5"/>
      <c r="AH23" s="88" t="str">
        <f>A23</f>
        <v>Pedreiro</v>
      </c>
      <c r="AI23" s="93">
        <f>SUM(B23:AF23)</f>
        <v>35</v>
      </c>
      <c r="AJ23" s="5"/>
    </row>
    <row r="24" spans="1:36" s="2" customFormat="1">
      <c r="A24" s="61" t="s">
        <v>18</v>
      </c>
      <c r="B24" s="55"/>
      <c r="C24" s="73">
        <v>1</v>
      </c>
      <c r="D24" s="73">
        <v>1</v>
      </c>
      <c r="E24" s="73">
        <v>1</v>
      </c>
      <c r="F24" s="56">
        <v>1</v>
      </c>
      <c r="G24" s="56">
        <v>1</v>
      </c>
      <c r="H24" s="55"/>
      <c r="I24" s="55"/>
      <c r="J24" s="56">
        <v>1</v>
      </c>
      <c r="K24" s="73">
        <v>1</v>
      </c>
      <c r="L24" s="73">
        <v>1</v>
      </c>
      <c r="M24" s="56">
        <v>1</v>
      </c>
      <c r="N24" s="56">
        <v>1</v>
      </c>
      <c r="O24" s="55"/>
      <c r="P24" s="55"/>
      <c r="Q24" s="56">
        <v>1</v>
      </c>
      <c r="R24" s="56">
        <v>1</v>
      </c>
      <c r="S24" s="56">
        <v>1</v>
      </c>
      <c r="T24" s="56">
        <v>1</v>
      </c>
      <c r="U24" s="56">
        <v>1</v>
      </c>
      <c r="V24" s="55"/>
      <c r="W24" s="55"/>
      <c r="X24" s="56">
        <v>1</v>
      </c>
      <c r="Y24" s="73">
        <v>1</v>
      </c>
      <c r="Z24" s="73">
        <v>1</v>
      </c>
      <c r="AA24" s="73">
        <v>1</v>
      </c>
      <c r="AB24" s="73">
        <v>1</v>
      </c>
      <c r="AC24" s="55"/>
      <c r="AD24" s="55"/>
      <c r="AE24" s="56">
        <v>1</v>
      </c>
      <c r="AF24" s="62">
        <v>1</v>
      </c>
      <c r="AG24" s="5"/>
      <c r="AH24" s="88" t="str">
        <f t="shared" ref="AH24:AH27" si="4">A24</f>
        <v>Meio-Oficial</v>
      </c>
      <c r="AI24" s="68">
        <f>SUM(B24:AF24)</f>
        <v>22</v>
      </c>
      <c r="AJ24" s="5"/>
    </row>
    <row r="25" spans="1:36" s="2" customFormat="1">
      <c r="A25" s="61" t="s">
        <v>7</v>
      </c>
      <c r="B25" s="55"/>
      <c r="C25" s="73">
        <v>7</v>
      </c>
      <c r="D25" s="73">
        <v>8</v>
      </c>
      <c r="E25" s="73">
        <v>4</v>
      </c>
      <c r="F25" s="56">
        <v>6</v>
      </c>
      <c r="G25" s="56">
        <v>7</v>
      </c>
      <c r="H25" s="55"/>
      <c r="I25" s="55"/>
      <c r="J25" s="56">
        <v>6</v>
      </c>
      <c r="K25" s="73">
        <v>6</v>
      </c>
      <c r="L25" s="73">
        <v>6</v>
      </c>
      <c r="M25" s="56">
        <v>6</v>
      </c>
      <c r="N25" s="56">
        <v>6</v>
      </c>
      <c r="O25" s="55"/>
      <c r="P25" s="55"/>
      <c r="Q25" s="56">
        <v>8</v>
      </c>
      <c r="R25" s="56">
        <v>6</v>
      </c>
      <c r="S25" s="56">
        <v>6.5</v>
      </c>
      <c r="T25" s="56">
        <v>4</v>
      </c>
      <c r="U25" s="56">
        <v>4</v>
      </c>
      <c r="V25" s="55"/>
      <c r="W25" s="55"/>
      <c r="X25" s="56">
        <v>5</v>
      </c>
      <c r="Y25" s="73">
        <v>6</v>
      </c>
      <c r="Z25" s="73">
        <v>5</v>
      </c>
      <c r="AA25" s="73">
        <v>4</v>
      </c>
      <c r="AB25" s="73">
        <v>6</v>
      </c>
      <c r="AC25" s="55"/>
      <c r="AD25" s="55"/>
      <c r="AE25" s="56">
        <v>7</v>
      </c>
      <c r="AF25" s="62">
        <v>6</v>
      </c>
      <c r="AG25" s="5"/>
      <c r="AH25" s="88" t="str">
        <f t="shared" si="4"/>
        <v>Servente</v>
      </c>
      <c r="AI25" s="68">
        <f>SUM(B25:AF25)</f>
        <v>129.5</v>
      </c>
      <c r="AJ25" s="5"/>
    </row>
    <row r="26" spans="1:36" s="2" customFormat="1">
      <c r="A26" s="61" t="s">
        <v>19</v>
      </c>
      <c r="B26" s="55"/>
      <c r="C26" s="73" t="s">
        <v>8</v>
      </c>
      <c r="D26" s="73"/>
      <c r="E26" s="73" t="s">
        <v>8</v>
      </c>
      <c r="F26" s="56" t="s">
        <v>8</v>
      </c>
      <c r="G26" s="56"/>
      <c r="H26" s="55"/>
      <c r="I26" s="55"/>
      <c r="J26" s="56"/>
      <c r="K26" s="73"/>
      <c r="L26" s="73"/>
      <c r="M26" s="56"/>
      <c r="N26" s="56"/>
      <c r="O26" s="55"/>
      <c r="P26" s="55"/>
      <c r="Q26" s="56"/>
      <c r="R26" s="73"/>
      <c r="S26" s="73"/>
      <c r="T26" s="56"/>
      <c r="U26" s="56"/>
      <c r="V26" s="55"/>
      <c r="W26" s="55"/>
      <c r="X26" s="56"/>
      <c r="Y26" s="73"/>
      <c r="Z26" s="73"/>
      <c r="AA26" s="56"/>
      <c r="AB26" s="56"/>
      <c r="AC26" s="55"/>
      <c r="AD26" s="55"/>
      <c r="AE26" s="56"/>
      <c r="AF26" s="62"/>
      <c r="AG26" s="5"/>
      <c r="AH26" s="88" t="str">
        <f t="shared" si="4"/>
        <v>Carpinteiro</v>
      </c>
      <c r="AI26" s="68">
        <f>SUM(B26:AF26)</f>
        <v>0</v>
      </c>
      <c r="AJ26" s="5"/>
    </row>
    <row r="27" spans="1:36" s="2" customFormat="1">
      <c r="A27" s="63" t="s">
        <v>20</v>
      </c>
      <c r="B27" s="64"/>
      <c r="C27" s="74" t="s">
        <v>8</v>
      </c>
      <c r="D27" s="74" t="s">
        <v>8</v>
      </c>
      <c r="E27" s="74" t="s">
        <v>8</v>
      </c>
      <c r="F27" s="65" t="s">
        <v>8</v>
      </c>
      <c r="G27" s="65"/>
      <c r="H27" s="64"/>
      <c r="I27" s="64"/>
      <c r="J27" s="65"/>
      <c r="K27" s="74"/>
      <c r="L27" s="74"/>
      <c r="M27" s="65"/>
      <c r="N27" s="65"/>
      <c r="O27" s="64"/>
      <c r="P27" s="64"/>
      <c r="Q27" s="74"/>
      <c r="R27" s="74"/>
      <c r="S27" s="74"/>
      <c r="T27" s="74"/>
      <c r="U27" s="74"/>
      <c r="V27" s="64"/>
      <c r="W27" s="64"/>
      <c r="X27" s="65"/>
      <c r="Y27" s="74"/>
      <c r="Z27" s="74"/>
      <c r="AA27" s="65"/>
      <c r="AB27" s="65"/>
      <c r="AC27" s="64"/>
      <c r="AD27" s="64"/>
      <c r="AE27" s="65"/>
      <c r="AF27" s="66"/>
      <c r="AG27" s="5"/>
      <c r="AH27" s="88" t="str">
        <f t="shared" si="4"/>
        <v>Armador</v>
      </c>
      <c r="AI27" s="69">
        <f>SUM(B27:AF27)</f>
        <v>0</v>
      </c>
      <c r="AJ27" s="5"/>
    </row>
    <row r="28" spans="1:36">
      <c r="B28" s="103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5"/>
    </row>
    <row r="29" spans="1:36" s="2" customFormat="1">
      <c r="A29" s="107" t="s">
        <v>21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11"/>
      <c r="AI29" s="112"/>
      <c r="AJ29" s="5"/>
    </row>
    <row r="30" spans="1:36" s="2" customFormat="1" ht="15" customHeight="1">
      <c r="A30" s="88" t="s">
        <v>10</v>
      </c>
      <c r="B30" s="89"/>
      <c r="C30" s="90">
        <v>5</v>
      </c>
      <c r="D30" s="90">
        <v>4</v>
      </c>
      <c r="E30" s="90">
        <v>3</v>
      </c>
      <c r="F30" s="90">
        <v>4</v>
      </c>
      <c r="G30" s="90">
        <v>5</v>
      </c>
      <c r="H30" s="89"/>
      <c r="I30" s="89"/>
      <c r="J30" s="90">
        <v>5</v>
      </c>
      <c r="K30" s="90">
        <v>5</v>
      </c>
      <c r="L30" s="90">
        <v>4</v>
      </c>
      <c r="M30" s="90">
        <v>3</v>
      </c>
      <c r="N30" s="90">
        <v>3</v>
      </c>
      <c r="O30" s="89"/>
      <c r="P30" s="89"/>
      <c r="Q30" s="90">
        <v>3</v>
      </c>
      <c r="R30" s="90">
        <v>3</v>
      </c>
      <c r="S30" s="90">
        <v>3</v>
      </c>
      <c r="T30" s="90">
        <v>4</v>
      </c>
      <c r="U30" s="90">
        <v>4</v>
      </c>
      <c r="V30" s="89"/>
      <c r="W30" s="89"/>
      <c r="X30" s="90">
        <v>4</v>
      </c>
      <c r="Y30" s="90">
        <v>4</v>
      </c>
      <c r="Z30" s="90">
        <v>4</v>
      </c>
      <c r="AA30" s="90">
        <v>4</v>
      </c>
      <c r="AB30" s="90">
        <v>4</v>
      </c>
      <c r="AC30" s="89"/>
      <c r="AD30" s="89"/>
      <c r="AE30" s="90">
        <v>5</v>
      </c>
      <c r="AF30" s="90">
        <v>5</v>
      </c>
      <c r="AG30" s="5"/>
      <c r="AH30" s="57" t="str">
        <f>A30</f>
        <v>Pedreiro</v>
      </c>
      <c r="AI30" s="67">
        <f>SUM(B30:AF30)</f>
        <v>88</v>
      </c>
      <c r="AJ30" s="5"/>
    </row>
    <row r="31" spans="1:36" s="2" customFormat="1">
      <c r="A31" s="61" t="s">
        <v>9</v>
      </c>
      <c r="B31" s="55"/>
      <c r="C31" s="73">
        <v>1</v>
      </c>
      <c r="D31" s="73">
        <v>1</v>
      </c>
      <c r="E31" s="73">
        <v>1</v>
      </c>
      <c r="F31" s="73">
        <v>1</v>
      </c>
      <c r="G31" s="73">
        <v>1</v>
      </c>
      <c r="H31" s="55"/>
      <c r="I31" s="55"/>
      <c r="J31" s="73">
        <v>1</v>
      </c>
      <c r="K31" s="73">
        <v>1</v>
      </c>
      <c r="L31" s="73">
        <v>1</v>
      </c>
      <c r="M31" s="73">
        <v>1</v>
      </c>
      <c r="N31" s="73">
        <v>1</v>
      </c>
      <c r="O31" s="55"/>
      <c r="P31" s="55"/>
      <c r="Q31" s="73">
        <v>1</v>
      </c>
      <c r="R31" s="73">
        <v>1</v>
      </c>
      <c r="S31" s="73">
        <v>1</v>
      </c>
      <c r="T31" s="73">
        <v>1</v>
      </c>
      <c r="U31" s="73">
        <v>1</v>
      </c>
      <c r="V31" s="55"/>
      <c r="W31" s="55"/>
      <c r="X31" s="73">
        <v>1</v>
      </c>
      <c r="Y31" s="73">
        <v>0.5</v>
      </c>
      <c r="Z31" s="73"/>
      <c r="AA31" s="73"/>
      <c r="AB31" s="73"/>
      <c r="AC31" s="55"/>
      <c r="AD31" s="55"/>
      <c r="AE31" s="73"/>
      <c r="AF31" s="73"/>
      <c r="AG31" s="5"/>
      <c r="AH31" s="57" t="str">
        <f t="shared" ref="AH31:AH33" si="5">A31</f>
        <v>Meio Oficial</v>
      </c>
      <c r="AI31" s="68">
        <f>SUM(B31:AF31)</f>
        <v>16.5</v>
      </c>
      <c r="AJ31" s="5"/>
    </row>
    <row r="32" spans="1:36" s="2" customFormat="1" ht="15" customHeight="1">
      <c r="A32" s="61" t="s">
        <v>7</v>
      </c>
      <c r="B32" s="55"/>
      <c r="C32" s="73">
        <v>6</v>
      </c>
      <c r="D32" s="73">
        <v>5</v>
      </c>
      <c r="E32" s="73">
        <v>5</v>
      </c>
      <c r="F32" s="73">
        <v>7</v>
      </c>
      <c r="G32" s="73">
        <v>8</v>
      </c>
      <c r="H32" s="55"/>
      <c r="I32" s="55"/>
      <c r="J32" s="73">
        <v>7</v>
      </c>
      <c r="K32" s="73">
        <v>4</v>
      </c>
      <c r="L32" s="73">
        <v>3</v>
      </c>
      <c r="M32" s="73">
        <v>5</v>
      </c>
      <c r="N32" s="73">
        <v>3</v>
      </c>
      <c r="O32" s="55"/>
      <c r="P32" s="55"/>
      <c r="Q32" s="73">
        <v>3</v>
      </c>
      <c r="R32" s="73">
        <v>3</v>
      </c>
      <c r="S32" s="73">
        <v>4</v>
      </c>
      <c r="T32" s="73">
        <v>5.5</v>
      </c>
      <c r="U32" s="73">
        <v>2</v>
      </c>
      <c r="V32" s="55"/>
      <c r="W32" s="55"/>
      <c r="X32" s="73">
        <v>8</v>
      </c>
      <c r="Y32" s="73">
        <v>6.5</v>
      </c>
      <c r="Z32" s="73">
        <v>5</v>
      </c>
      <c r="AA32" s="73">
        <v>3</v>
      </c>
      <c r="AB32" s="73">
        <v>4</v>
      </c>
      <c r="AC32" s="55"/>
      <c r="AD32" s="55"/>
      <c r="AE32" s="73">
        <v>4</v>
      </c>
      <c r="AF32" s="73">
        <v>4</v>
      </c>
      <c r="AG32" s="5"/>
      <c r="AH32" s="57" t="str">
        <f t="shared" si="5"/>
        <v>Servente</v>
      </c>
      <c r="AI32" s="68">
        <f>SUM(B32:AF32)</f>
        <v>105</v>
      </c>
      <c r="AJ32" s="5"/>
    </row>
    <row r="33" spans="1:36" s="2" customFormat="1" ht="15" customHeight="1">
      <c r="A33" s="63" t="s">
        <v>14</v>
      </c>
      <c r="B33" s="64"/>
      <c r="C33" s="74"/>
      <c r="D33" s="74"/>
      <c r="E33" s="74"/>
      <c r="F33" s="74"/>
      <c r="G33" s="74"/>
      <c r="H33" s="64"/>
      <c r="I33" s="64"/>
      <c r="J33" s="74"/>
      <c r="K33" s="74"/>
      <c r="L33" s="74"/>
      <c r="M33" s="74"/>
      <c r="N33" s="74"/>
      <c r="O33" s="64"/>
      <c r="P33" s="64"/>
      <c r="Q33" s="74"/>
      <c r="R33" s="74"/>
      <c r="S33" s="74"/>
      <c r="T33" s="74"/>
      <c r="U33" s="74"/>
      <c r="V33" s="64"/>
      <c r="W33" s="64"/>
      <c r="X33" s="74"/>
      <c r="Y33" s="74"/>
      <c r="Z33" s="74"/>
      <c r="AA33" s="74"/>
      <c r="AB33" s="74"/>
      <c r="AC33" s="64"/>
      <c r="AD33" s="64"/>
      <c r="AE33" s="74"/>
      <c r="AF33" s="74"/>
      <c r="AG33" s="5"/>
      <c r="AH33" s="57" t="str">
        <f t="shared" si="5"/>
        <v>Encarregado</v>
      </c>
      <c r="AI33" s="69">
        <f>SUM(B33:AF33)</f>
        <v>0</v>
      </c>
      <c r="AJ33" s="5"/>
    </row>
    <row r="34" spans="1:36">
      <c r="B34" s="103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5"/>
    </row>
    <row r="35" spans="1:36" s="2" customFormat="1">
      <c r="A35" s="110" t="s">
        <v>824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08"/>
      <c r="AH35" s="111"/>
      <c r="AI35" s="112"/>
      <c r="AJ35" s="5"/>
    </row>
    <row r="36" spans="1:36" s="2" customFormat="1" ht="15" customHeight="1">
      <c r="A36" s="57" t="s">
        <v>19</v>
      </c>
      <c r="B36" s="58"/>
      <c r="C36" s="72">
        <v>2</v>
      </c>
      <c r="D36" s="72">
        <v>2</v>
      </c>
      <c r="E36" s="72">
        <v>2</v>
      </c>
      <c r="F36" s="59">
        <v>2</v>
      </c>
      <c r="G36" s="59">
        <v>1</v>
      </c>
      <c r="H36" s="58"/>
      <c r="I36" s="58"/>
      <c r="J36" s="59">
        <v>2</v>
      </c>
      <c r="K36" s="72"/>
      <c r="L36" s="72"/>
      <c r="M36" s="59"/>
      <c r="N36" s="59"/>
      <c r="O36" s="58"/>
      <c r="P36" s="58"/>
      <c r="Q36" s="91"/>
      <c r="R36" s="91"/>
      <c r="S36" s="91"/>
      <c r="T36" s="59"/>
      <c r="U36" s="59"/>
      <c r="V36" s="58"/>
      <c r="W36" s="58"/>
      <c r="X36" s="59"/>
      <c r="Y36" s="72"/>
      <c r="Z36" s="72"/>
      <c r="AA36" s="59"/>
      <c r="AB36" s="59"/>
      <c r="AC36" s="58"/>
      <c r="AD36" s="58"/>
      <c r="AE36" s="59"/>
      <c r="AF36" s="60"/>
      <c r="AG36" s="5"/>
      <c r="AH36" s="75" t="str">
        <f>A36</f>
        <v>Carpinteiro</v>
      </c>
      <c r="AI36" s="67">
        <f>SUM(B36:AF36)</f>
        <v>11</v>
      </c>
      <c r="AJ36" s="5"/>
    </row>
    <row r="37" spans="1:36" s="2" customFormat="1">
      <c r="A37" s="63" t="s">
        <v>7</v>
      </c>
      <c r="B37" s="64"/>
      <c r="C37" s="74">
        <v>0</v>
      </c>
      <c r="D37" s="74"/>
      <c r="E37" s="74"/>
      <c r="F37" s="65"/>
      <c r="G37" s="65"/>
      <c r="H37" s="64"/>
      <c r="I37" s="64"/>
      <c r="J37" s="65"/>
      <c r="K37" s="74"/>
      <c r="L37" s="74"/>
      <c r="M37" s="65"/>
      <c r="N37" s="65"/>
      <c r="O37" s="64"/>
      <c r="P37" s="64"/>
      <c r="Q37" s="65"/>
      <c r="R37" s="74"/>
      <c r="S37" s="74"/>
      <c r="T37" s="65"/>
      <c r="U37" s="65"/>
      <c r="V37" s="64"/>
      <c r="W37" s="64"/>
      <c r="X37" s="65"/>
      <c r="Y37" s="74"/>
      <c r="Z37" s="74"/>
      <c r="AA37" s="65"/>
      <c r="AB37" s="65"/>
      <c r="AC37" s="64"/>
      <c r="AD37" s="64"/>
      <c r="AE37" s="65"/>
      <c r="AF37" s="66"/>
      <c r="AG37" s="5"/>
      <c r="AH37" s="76" t="str">
        <f>A37</f>
        <v>Servente</v>
      </c>
      <c r="AI37" s="69">
        <f>SUM(B37:AF37)</f>
        <v>0</v>
      </c>
      <c r="AJ37" s="5"/>
    </row>
    <row r="39" spans="1:36" s="2" customFormat="1">
      <c r="A39" s="107" t="s">
        <v>825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9"/>
      <c r="AJ39" s="5"/>
    </row>
    <row r="40" spans="1:36" s="2" customFormat="1">
      <c r="A40" s="86" t="s">
        <v>826</v>
      </c>
      <c r="B40" s="15"/>
      <c r="C40" s="9">
        <v>2</v>
      </c>
      <c r="D40" s="9">
        <v>4</v>
      </c>
      <c r="E40" s="9">
        <v>4</v>
      </c>
      <c r="F40" s="44">
        <v>5</v>
      </c>
      <c r="G40" s="44">
        <v>5</v>
      </c>
      <c r="H40" s="15"/>
      <c r="I40" s="15"/>
      <c r="J40" s="44">
        <v>4</v>
      </c>
      <c r="K40" s="9">
        <v>4</v>
      </c>
      <c r="L40" s="9">
        <v>4.5</v>
      </c>
      <c r="M40" s="44">
        <v>4</v>
      </c>
      <c r="N40" s="44">
        <v>4</v>
      </c>
      <c r="O40" s="15"/>
      <c r="P40" s="15"/>
      <c r="Q40" s="91">
        <v>3</v>
      </c>
      <c r="R40" s="91">
        <v>5</v>
      </c>
      <c r="S40" s="91">
        <v>6</v>
      </c>
      <c r="T40" s="44">
        <v>5</v>
      </c>
      <c r="U40" s="44">
        <v>6</v>
      </c>
      <c r="V40" s="15"/>
      <c r="W40" s="15"/>
      <c r="X40" s="44">
        <v>4</v>
      </c>
      <c r="Y40" s="9">
        <v>4</v>
      </c>
      <c r="Z40" s="9">
        <v>5</v>
      </c>
      <c r="AA40" s="44">
        <v>5</v>
      </c>
      <c r="AB40" s="44">
        <v>5</v>
      </c>
      <c r="AC40" s="15"/>
      <c r="AD40" s="15"/>
      <c r="AE40" s="44">
        <v>5</v>
      </c>
      <c r="AF40" s="47">
        <v>5</v>
      </c>
      <c r="AG40" s="5"/>
      <c r="AH40" s="14" t="str">
        <f>A40</f>
        <v>Poceiro</v>
      </c>
      <c r="AI40" s="87">
        <f>SUM(B40:AF40)</f>
        <v>98.5</v>
      </c>
      <c r="AJ40" s="5"/>
    </row>
    <row r="41" spans="1:36">
      <c r="A41" s="86" t="s">
        <v>827</v>
      </c>
      <c r="B41" s="15"/>
      <c r="C41" s="9">
        <v>7</v>
      </c>
      <c r="D41" s="9">
        <v>8</v>
      </c>
      <c r="E41" s="9">
        <v>6</v>
      </c>
      <c r="F41" s="44">
        <v>7</v>
      </c>
      <c r="G41" s="44">
        <v>7</v>
      </c>
      <c r="H41" s="15"/>
      <c r="I41" s="15"/>
      <c r="J41" s="44">
        <v>5</v>
      </c>
      <c r="K41" s="9">
        <v>5</v>
      </c>
      <c r="L41" s="9">
        <v>5</v>
      </c>
      <c r="M41" s="44">
        <v>6</v>
      </c>
      <c r="N41" s="44">
        <v>5</v>
      </c>
      <c r="O41" s="15"/>
      <c r="P41" s="15"/>
      <c r="Q41" s="91">
        <v>4</v>
      </c>
      <c r="R41" s="91">
        <v>5</v>
      </c>
      <c r="S41" s="91">
        <v>3</v>
      </c>
      <c r="T41" s="44">
        <v>6</v>
      </c>
      <c r="U41" s="44">
        <v>5</v>
      </c>
      <c r="V41" s="15"/>
      <c r="W41" s="15"/>
      <c r="X41" s="44">
        <v>4</v>
      </c>
      <c r="Y41" s="9">
        <v>8</v>
      </c>
      <c r="Z41" s="9">
        <v>7</v>
      </c>
      <c r="AA41" s="44">
        <v>8</v>
      </c>
      <c r="AB41" s="44">
        <v>9</v>
      </c>
      <c r="AC41" s="15"/>
      <c r="AD41" s="15"/>
      <c r="AE41" s="44">
        <v>11</v>
      </c>
      <c r="AF41" s="47">
        <v>11</v>
      </c>
      <c r="AG41" s="5"/>
      <c r="AH41" s="14"/>
      <c r="AI41" s="87"/>
    </row>
    <row r="42" spans="1:36">
      <c r="A42" s="86"/>
      <c r="B42" s="15"/>
      <c r="C42" s="9"/>
      <c r="D42" s="9"/>
      <c r="E42" s="9"/>
      <c r="F42" s="44"/>
      <c r="G42" s="44"/>
      <c r="H42" s="15"/>
      <c r="I42" s="15"/>
      <c r="J42" s="44"/>
      <c r="K42" s="9"/>
      <c r="L42" s="9"/>
      <c r="M42" s="44"/>
      <c r="N42" s="44"/>
      <c r="O42" s="15"/>
      <c r="P42" s="15"/>
      <c r="Q42" s="91"/>
      <c r="R42" s="91"/>
      <c r="S42" s="91"/>
      <c r="T42" s="44"/>
      <c r="U42" s="44"/>
      <c r="V42" s="15"/>
      <c r="W42" s="15"/>
      <c r="X42" s="44"/>
      <c r="Y42" s="9"/>
      <c r="Z42" s="9"/>
      <c r="AA42" s="44"/>
      <c r="AB42" s="44"/>
      <c r="AC42" s="15"/>
      <c r="AD42" s="15"/>
      <c r="AE42" s="44"/>
      <c r="AF42" s="47"/>
      <c r="AG42" s="5"/>
      <c r="AH42" s="14"/>
      <c r="AI42" s="87"/>
    </row>
    <row r="43" spans="1:36">
      <c r="A43" s="86"/>
      <c r="B43" s="15"/>
      <c r="C43" s="9">
        <v>0</v>
      </c>
      <c r="D43" s="9"/>
      <c r="E43" s="9"/>
      <c r="F43" s="44"/>
      <c r="G43" s="44"/>
      <c r="H43" s="15"/>
      <c r="I43" s="15"/>
      <c r="J43" s="44"/>
      <c r="K43" s="9"/>
      <c r="L43" s="9"/>
      <c r="M43" s="44"/>
      <c r="N43" s="44"/>
      <c r="O43" s="15"/>
      <c r="P43" s="15"/>
      <c r="Q43" s="91"/>
      <c r="R43" s="91"/>
      <c r="S43" s="91"/>
      <c r="T43" s="44"/>
      <c r="U43" s="44"/>
      <c r="V43" s="15"/>
      <c r="W43" s="15"/>
      <c r="X43" s="44"/>
      <c r="Y43" s="9"/>
      <c r="Z43" s="9"/>
      <c r="AA43" s="44"/>
      <c r="AB43" s="44"/>
      <c r="AC43" s="15"/>
      <c r="AD43" s="15"/>
      <c r="AE43" s="44"/>
      <c r="AF43" s="47"/>
      <c r="AG43" s="5"/>
      <c r="AH43" s="14">
        <f>A43</f>
        <v>0</v>
      </c>
      <c r="AI43" s="87">
        <f>SUM(B43:AF43)</f>
        <v>0</v>
      </c>
    </row>
    <row r="45" spans="1:36" s="2" customFormat="1">
      <c r="A45" s="110" t="s">
        <v>828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08"/>
      <c r="AH45" s="111"/>
      <c r="AI45" s="112"/>
      <c r="AJ45" s="5"/>
    </row>
    <row r="46" spans="1:36" s="2" customFormat="1" ht="15" customHeight="1">
      <c r="A46" s="57" t="s">
        <v>829</v>
      </c>
      <c r="B46" s="58"/>
      <c r="C46" s="72">
        <v>1</v>
      </c>
      <c r="D46" s="72">
        <v>1</v>
      </c>
      <c r="E46" s="72">
        <v>1</v>
      </c>
      <c r="F46" s="59">
        <v>1</v>
      </c>
      <c r="G46" s="59" t="s">
        <v>8</v>
      </c>
      <c r="H46" s="58"/>
      <c r="I46" s="58"/>
      <c r="J46" s="59">
        <v>1</v>
      </c>
      <c r="K46" s="72">
        <v>1</v>
      </c>
      <c r="L46" s="72">
        <v>1</v>
      </c>
      <c r="M46" s="59"/>
      <c r="N46" s="59"/>
      <c r="O46" s="58"/>
      <c r="P46" s="58"/>
      <c r="Q46" s="59"/>
      <c r="R46" s="72"/>
      <c r="S46" s="72">
        <v>1</v>
      </c>
      <c r="T46" s="59"/>
      <c r="U46" s="59"/>
      <c r="V46" s="58"/>
      <c r="W46" s="58"/>
      <c r="X46" s="59"/>
      <c r="Y46" s="72"/>
      <c r="Z46" s="72"/>
      <c r="AA46" s="59"/>
      <c r="AB46" s="59">
        <v>1</v>
      </c>
      <c r="AC46" s="58"/>
      <c r="AD46" s="58"/>
      <c r="AE46" s="59">
        <v>1</v>
      </c>
      <c r="AF46" s="60"/>
      <c r="AG46" s="5"/>
      <c r="AH46" s="75" t="str">
        <f>A46</f>
        <v>Pintor</v>
      </c>
      <c r="AI46" s="67">
        <f>SUM(B46:AF46)</f>
        <v>10</v>
      </c>
      <c r="AJ46" s="5"/>
    </row>
    <row r="47" spans="1:36" s="2" customFormat="1">
      <c r="A47" s="63" t="s">
        <v>7</v>
      </c>
      <c r="B47" s="64"/>
      <c r="C47" s="74">
        <v>0</v>
      </c>
      <c r="D47" s="74"/>
      <c r="E47" s="74"/>
      <c r="F47" s="65"/>
      <c r="G47" s="65"/>
      <c r="H47" s="64"/>
      <c r="I47" s="64"/>
      <c r="J47" s="65"/>
      <c r="K47" s="74"/>
      <c r="L47" s="74"/>
      <c r="M47" s="65"/>
      <c r="N47" s="65"/>
      <c r="O47" s="64"/>
      <c r="P47" s="64"/>
      <c r="Q47" s="65"/>
      <c r="R47" s="74"/>
      <c r="S47" s="74"/>
      <c r="T47" s="65"/>
      <c r="U47" s="65"/>
      <c r="V47" s="64"/>
      <c r="W47" s="64"/>
      <c r="X47" s="65"/>
      <c r="Y47" s="74"/>
      <c r="Z47" s="74"/>
      <c r="AA47" s="65"/>
      <c r="AB47" s="65"/>
      <c r="AC47" s="64"/>
      <c r="AD47" s="64"/>
      <c r="AE47" s="65"/>
      <c r="AF47" s="66"/>
      <c r="AG47" s="5"/>
      <c r="AH47" s="76" t="str">
        <f>A47</f>
        <v>Servente</v>
      </c>
      <c r="AI47" s="69">
        <f>SUM(B47:AF47)</f>
        <v>0</v>
      </c>
      <c r="AJ47" s="5"/>
    </row>
    <row r="49" spans="1:36" s="2" customFormat="1">
      <c r="A49" s="110" t="s">
        <v>29</v>
      </c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08"/>
      <c r="AH49" s="111"/>
      <c r="AI49" s="112"/>
      <c r="AJ49" s="5"/>
    </row>
    <row r="50" spans="1:36" s="2" customFormat="1">
      <c r="A50" s="57" t="s">
        <v>30</v>
      </c>
      <c r="B50" s="58"/>
      <c r="C50" s="72">
        <v>1</v>
      </c>
      <c r="D50" s="72">
        <v>1</v>
      </c>
      <c r="E50" s="72">
        <v>1</v>
      </c>
      <c r="F50" s="59">
        <v>1</v>
      </c>
      <c r="G50" s="59">
        <v>1</v>
      </c>
      <c r="H50" s="58"/>
      <c r="I50" s="58"/>
      <c r="J50" s="59">
        <v>1</v>
      </c>
      <c r="K50" s="72">
        <v>1</v>
      </c>
      <c r="L50" s="72">
        <v>1</v>
      </c>
      <c r="M50" s="59">
        <v>1</v>
      </c>
      <c r="N50" s="59">
        <v>1</v>
      </c>
      <c r="O50" s="58"/>
      <c r="P50" s="58"/>
      <c r="Q50" s="59">
        <v>1</v>
      </c>
      <c r="R50" s="72">
        <v>1</v>
      </c>
      <c r="S50" s="72">
        <v>1</v>
      </c>
      <c r="T50" s="59"/>
      <c r="U50" s="59"/>
      <c r="V50" s="58"/>
      <c r="W50" s="58"/>
      <c r="X50" s="59">
        <v>1</v>
      </c>
      <c r="Y50" s="72">
        <v>1</v>
      </c>
      <c r="Z50" s="72">
        <v>1</v>
      </c>
      <c r="AA50" s="59"/>
      <c r="AB50" s="59"/>
      <c r="AC50" s="58"/>
      <c r="AD50" s="58"/>
      <c r="AE50" s="59"/>
      <c r="AF50" s="60"/>
      <c r="AG50" s="5"/>
      <c r="AH50" s="75" t="str">
        <f t="shared" ref="AH50:AH51" si="6">A50</f>
        <v>Eletricista</v>
      </c>
      <c r="AI50" s="67">
        <f t="shared" ref="AI50" si="7">SUM(B50:AF50)</f>
        <v>16</v>
      </c>
      <c r="AJ50" s="5"/>
    </row>
    <row r="51" spans="1:36" s="2" customFormat="1">
      <c r="A51" s="63" t="s">
        <v>25</v>
      </c>
      <c r="B51" s="64"/>
      <c r="C51" s="74"/>
      <c r="D51" s="74">
        <v>1</v>
      </c>
      <c r="E51" s="74">
        <v>1</v>
      </c>
      <c r="F51" s="65">
        <v>1</v>
      </c>
      <c r="G51" s="65">
        <v>1</v>
      </c>
      <c r="H51" s="64"/>
      <c r="I51" s="64"/>
      <c r="J51" s="65">
        <v>1</v>
      </c>
      <c r="K51" s="74">
        <v>1</v>
      </c>
      <c r="L51" s="74">
        <v>1</v>
      </c>
      <c r="M51" s="65">
        <v>1</v>
      </c>
      <c r="N51" s="44">
        <v>1</v>
      </c>
      <c r="O51" s="64"/>
      <c r="P51" s="64"/>
      <c r="Q51" s="44">
        <v>1</v>
      </c>
      <c r="R51" s="44">
        <v>1</v>
      </c>
      <c r="S51" s="44"/>
      <c r="T51" s="44"/>
      <c r="U51" s="44"/>
      <c r="V51" s="64"/>
      <c r="W51" s="64"/>
      <c r="X51" s="44"/>
      <c r="Y51" s="44"/>
      <c r="Z51" s="44"/>
      <c r="AA51" s="44"/>
      <c r="AB51" s="44"/>
      <c r="AC51" s="64"/>
      <c r="AD51" s="64"/>
      <c r="AE51" s="65"/>
      <c r="AF51" s="66"/>
      <c r="AG51" s="5"/>
      <c r="AH51" s="76" t="str">
        <f t="shared" si="6"/>
        <v>Bombeiro</v>
      </c>
      <c r="AI51" s="69">
        <f>SUM(B51:AF51)</f>
        <v>11</v>
      </c>
      <c r="AJ51" s="5"/>
    </row>
  </sheetData>
  <mergeCells count="9">
    <mergeCell ref="A39:AI39"/>
    <mergeCell ref="A45:AI45"/>
    <mergeCell ref="A49:AI49"/>
    <mergeCell ref="B1:AG2"/>
    <mergeCell ref="A6:AI6"/>
    <mergeCell ref="A15:AI15"/>
    <mergeCell ref="A22:AI22"/>
    <mergeCell ref="A29:AI29"/>
    <mergeCell ref="A35:AI35"/>
  </mergeCells>
  <pageMargins left="0.511811024" right="0.511811024" top="0.78740157499999996" bottom="0.78740157499999996" header="0.31496062000000002" footer="0.31496062000000002"/>
  <pageSetup paperSize="9" fitToWidth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CD94-99CA-4C4B-A523-5763ACA968F1}">
  <sheetPr>
    <tabColor rgb="FF00392F"/>
    <pageSetUpPr fitToPage="1"/>
  </sheetPr>
  <dimension ref="A1:AJ51"/>
  <sheetViews>
    <sheetView showGridLines="0" tabSelected="1" zoomScale="85" zoomScaleNormal="85" workbookViewId="0">
      <pane ySplit="4" topLeftCell="A30" activePane="bottomLeft" state="frozen"/>
      <selection pane="bottomLeft" activeCell="R42" sqref="R42"/>
    </sheetView>
  </sheetViews>
  <sheetFormatPr defaultRowHeight="15"/>
  <cols>
    <col min="1" max="1" width="28.7109375" style="102" bestFit="1" customWidth="1"/>
    <col min="2" max="29" width="3.7109375" style="102" customWidth="1"/>
    <col min="30" max="32" width="4.42578125" style="102" customWidth="1"/>
    <col min="33" max="33" width="3.7109375" style="102" customWidth="1"/>
    <col min="34" max="34" width="27.140625" style="102" bestFit="1" customWidth="1"/>
    <col min="35" max="36" width="9.140625" style="104"/>
    <col min="37" max="16384" width="9.140625" style="102"/>
  </cols>
  <sheetData>
    <row r="1" spans="1:36" s="2" customFormat="1" ht="23.25" customHeight="1">
      <c r="A1" s="95" t="s">
        <v>0</v>
      </c>
      <c r="B1" s="113" t="s">
        <v>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"/>
      <c r="AI1" s="7"/>
      <c r="AJ1" s="5"/>
    </row>
    <row r="2" spans="1:36" s="2" customFormat="1" ht="15.75" customHeight="1">
      <c r="A2" s="35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3" t="s">
        <v>2</v>
      </c>
      <c r="AI2" s="8" t="s">
        <v>830</v>
      </c>
      <c r="AJ2" s="5"/>
    </row>
    <row r="3" spans="1:36" s="2" customFormat="1">
      <c r="A3" s="38" t="s">
        <v>4</v>
      </c>
      <c r="B3" s="4">
        <v>1</v>
      </c>
      <c r="C3" s="4">
        <f>B3+1</f>
        <v>2</v>
      </c>
      <c r="D3" s="4">
        <f t="shared" ref="D3:V3" si="0">C3+1</f>
        <v>3</v>
      </c>
      <c r="E3" s="4">
        <f t="shared" si="0"/>
        <v>4</v>
      </c>
      <c r="F3" s="4">
        <f t="shared" si="0"/>
        <v>5</v>
      </c>
      <c r="G3" s="4">
        <f t="shared" si="0"/>
        <v>6</v>
      </c>
      <c r="H3" s="4">
        <f t="shared" si="0"/>
        <v>7</v>
      </c>
      <c r="I3" s="4">
        <f t="shared" si="0"/>
        <v>8</v>
      </c>
      <c r="J3" s="4">
        <f t="shared" si="0"/>
        <v>9</v>
      </c>
      <c r="K3" s="4">
        <f t="shared" si="0"/>
        <v>10</v>
      </c>
      <c r="L3" s="4">
        <f t="shared" si="0"/>
        <v>11</v>
      </c>
      <c r="M3" s="4">
        <f>L3+1</f>
        <v>12</v>
      </c>
      <c r="N3" s="4">
        <f t="shared" si="0"/>
        <v>13</v>
      </c>
      <c r="O3" s="4">
        <f t="shared" si="0"/>
        <v>14</v>
      </c>
      <c r="P3" s="4">
        <f t="shared" si="0"/>
        <v>15</v>
      </c>
      <c r="Q3" s="4">
        <f t="shared" si="0"/>
        <v>16</v>
      </c>
      <c r="R3" s="4">
        <f t="shared" si="0"/>
        <v>17</v>
      </c>
      <c r="S3" s="4">
        <f t="shared" si="0"/>
        <v>18</v>
      </c>
      <c r="T3" s="4">
        <f t="shared" si="0"/>
        <v>19</v>
      </c>
      <c r="U3" s="4">
        <f t="shared" si="0"/>
        <v>20</v>
      </c>
      <c r="V3" s="4">
        <f t="shared" si="0"/>
        <v>21</v>
      </c>
      <c r="W3" s="4">
        <f>V3+1</f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/>
      <c r="AH3" s="33" t="s">
        <v>5</v>
      </c>
      <c r="AI3" s="37"/>
      <c r="AJ3" s="5"/>
    </row>
    <row r="4" spans="1:36" s="2" customFormat="1">
      <c r="A4" s="39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41"/>
      <c r="AI4" s="40"/>
      <c r="AJ4" s="5"/>
    </row>
    <row r="5" spans="1:36" s="2" customFormat="1" ht="10.5" customHeigh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7"/>
      <c r="AI5" s="5"/>
      <c r="AJ5" s="5"/>
    </row>
    <row r="6" spans="1:36" s="2" customFormat="1">
      <c r="A6" s="107" t="s">
        <v>6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9"/>
      <c r="AJ6" s="5"/>
    </row>
    <row r="7" spans="1:36" s="2" customFormat="1" ht="15" customHeight="1">
      <c r="A7" s="88" t="s">
        <v>10</v>
      </c>
      <c r="B7" s="90">
        <v>3</v>
      </c>
      <c r="C7" s="90">
        <v>3</v>
      </c>
      <c r="D7" s="89"/>
      <c r="E7" s="89"/>
      <c r="F7" s="89"/>
      <c r="G7" s="91">
        <v>2</v>
      </c>
      <c r="H7" s="91">
        <v>2</v>
      </c>
      <c r="I7" s="90">
        <v>2</v>
      </c>
      <c r="J7" s="91">
        <v>3</v>
      </c>
      <c r="K7" s="90">
        <v>3</v>
      </c>
      <c r="L7" s="89"/>
      <c r="M7" s="89"/>
      <c r="N7" s="91">
        <v>2</v>
      </c>
      <c r="O7" s="91">
        <v>3</v>
      </c>
      <c r="P7" s="91">
        <v>3</v>
      </c>
      <c r="Q7" s="91">
        <v>3</v>
      </c>
      <c r="R7" s="91">
        <v>4</v>
      </c>
      <c r="S7" s="89"/>
      <c r="T7" s="89"/>
      <c r="U7" s="91"/>
      <c r="V7" s="91"/>
      <c r="W7" s="90"/>
      <c r="X7" s="91"/>
      <c r="Y7" s="90"/>
      <c r="Z7" s="90"/>
      <c r="AA7" s="90"/>
      <c r="AB7" s="90"/>
      <c r="AC7" s="89"/>
      <c r="AD7" s="89"/>
      <c r="AE7" s="91"/>
      <c r="AF7" s="92"/>
      <c r="AG7" s="5"/>
      <c r="AH7" s="88" t="str">
        <f>A7</f>
        <v>Pedreiro</v>
      </c>
      <c r="AI7" s="93">
        <f t="shared" ref="AI7:AI13" si="1">SUM(B7:AF7)</f>
        <v>33</v>
      </c>
      <c r="AJ7" s="5"/>
    </row>
    <row r="8" spans="1:36" s="2" customFormat="1">
      <c r="A8" s="61" t="s">
        <v>9</v>
      </c>
      <c r="B8" s="73"/>
      <c r="C8" s="73"/>
      <c r="D8" s="55"/>
      <c r="E8" s="55"/>
      <c r="F8" s="55"/>
      <c r="G8" s="56"/>
      <c r="H8" s="56"/>
      <c r="I8" s="73"/>
      <c r="J8" s="56"/>
      <c r="K8" s="73"/>
      <c r="L8" s="55"/>
      <c r="M8" s="55"/>
      <c r="N8" s="56"/>
      <c r="O8" s="56"/>
      <c r="P8" s="56"/>
      <c r="Q8" s="56">
        <v>1</v>
      </c>
      <c r="R8" s="56">
        <v>1</v>
      </c>
      <c r="S8" s="55"/>
      <c r="T8" s="55"/>
      <c r="U8" s="56"/>
      <c r="V8" s="56"/>
      <c r="W8" s="73"/>
      <c r="X8" s="56"/>
      <c r="Y8" s="73"/>
      <c r="Z8" s="73"/>
      <c r="AA8" s="73"/>
      <c r="AB8" s="73"/>
      <c r="AC8" s="55"/>
      <c r="AD8" s="55"/>
      <c r="AE8" s="56"/>
      <c r="AF8" s="62"/>
      <c r="AG8" s="5"/>
      <c r="AH8" s="88" t="str">
        <f t="shared" ref="AH8:AH13" si="2">A8</f>
        <v>Meio Oficial</v>
      </c>
      <c r="AI8" s="68">
        <f t="shared" si="1"/>
        <v>2</v>
      </c>
      <c r="AJ8" s="5"/>
    </row>
    <row r="9" spans="1:36" s="2" customFormat="1">
      <c r="A9" s="61" t="s">
        <v>7</v>
      </c>
      <c r="B9" s="73">
        <v>2</v>
      </c>
      <c r="C9" s="73">
        <v>2</v>
      </c>
      <c r="D9" s="55"/>
      <c r="E9" s="55"/>
      <c r="F9" s="55"/>
      <c r="G9" s="56">
        <v>3</v>
      </c>
      <c r="H9" s="56">
        <v>2</v>
      </c>
      <c r="I9" s="73">
        <v>1</v>
      </c>
      <c r="J9" s="56">
        <v>1</v>
      </c>
      <c r="K9" s="106">
        <v>1</v>
      </c>
      <c r="L9" s="55"/>
      <c r="M9" s="55"/>
      <c r="N9" s="56">
        <v>1</v>
      </c>
      <c r="O9" s="56">
        <v>1</v>
      </c>
      <c r="P9" s="56">
        <v>1</v>
      </c>
      <c r="Q9" s="56">
        <v>1</v>
      </c>
      <c r="R9" s="56">
        <v>2</v>
      </c>
      <c r="S9" s="55"/>
      <c r="T9" s="55"/>
      <c r="U9" s="56"/>
      <c r="V9" s="56"/>
      <c r="W9" s="73"/>
      <c r="X9" s="56"/>
      <c r="Y9" s="73"/>
      <c r="Z9" s="73"/>
      <c r="AA9" s="73"/>
      <c r="AB9" s="73"/>
      <c r="AC9" s="55"/>
      <c r="AD9" s="55"/>
      <c r="AE9" s="56"/>
      <c r="AF9" s="62"/>
      <c r="AG9" s="5"/>
      <c r="AH9" s="88" t="str">
        <f t="shared" si="2"/>
        <v>Servente</v>
      </c>
      <c r="AI9" s="68">
        <f t="shared" si="1"/>
        <v>18</v>
      </c>
      <c r="AJ9" s="5"/>
    </row>
    <row r="10" spans="1:36" s="2" customFormat="1">
      <c r="A10" s="61" t="s">
        <v>14</v>
      </c>
      <c r="B10" s="73"/>
      <c r="C10" s="73"/>
      <c r="D10" s="55"/>
      <c r="E10" s="55"/>
      <c r="F10" s="55"/>
      <c r="G10" s="56"/>
      <c r="H10" s="56"/>
      <c r="I10" s="73"/>
      <c r="J10" s="56"/>
      <c r="K10" s="73"/>
      <c r="L10" s="55"/>
      <c r="M10" s="55"/>
      <c r="N10" s="56"/>
      <c r="O10" s="56"/>
      <c r="P10" s="73"/>
      <c r="Q10" s="56"/>
      <c r="R10" s="73"/>
      <c r="S10" s="55"/>
      <c r="T10" s="55"/>
      <c r="U10" s="56"/>
      <c r="V10" s="56"/>
      <c r="W10" s="73"/>
      <c r="X10" s="56"/>
      <c r="Y10" s="73"/>
      <c r="Z10" s="73"/>
      <c r="AA10" s="56"/>
      <c r="AB10" s="56"/>
      <c r="AC10" s="55"/>
      <c r="AD10" s="55"/>
      <c r="AE10" s="56"/>
      <c r="AF10" s="62"/>
      <c r="AG10" s="5"/>
      <c r="AH10" s="88" t="str">
        <f t="shared" si="2"/>
        <v>Encarregado</v>
      </c>
      <c r="AI10" s="68">
        <f t="shared" si="1"/>
        <v>0</v>
      </c>
      <c r="AJ10" s="5"/>
    </row>
    <row r="11" spans="1:36" s="2" customFormat="1">
      <c r="A11" s="61" t="s">
        <v>20</v>
      </c>
      <c r="B11" s="73"/>
      <c r="C11" s="73"/>
      <c r="D11" s="55"/>
      <c r="E11" s="55"/>
      <c r="F11" s="55"/>
      <c r="G11" s="56"/>
      <c r="H11" s="56"/>
      <c r="I11" s="73"/>
      <c r="J11" s="56"/>
      <c r="K11" s="73"/>
      <c r="L11" s="55"/>
      <c r="M11" s="55"/>
      <c r="N11" s="56"/>
      <c r="O11" s="56"/>
      <c r="P11" s="73"/>
      <c r="Q11" s="56"/>
      <c r="R11" s="73"/>
      <c r="S11" s="55"/>
      <c r="T11" s="55"/>
      <c r="U11" s="56"/>
      <c r="V11" s="56"/>
      <c r="W11" s="73"/>
      <c r="X11" s="56"/>
      <c r="Y11" s="73"/>
      <c r="Z11" s="73"/>
      <c r="AA11" s="56"/>
      <c r="AB11" s="56"/>
      <c r="AC11" s="55"/>
      <c r="AD11" s="55"/>
      <c r="AE11" s="56"/>
      <c r="AF11" s="62"/>
      <c r="AG11" s="5"/>
      <c r="AH11" s="88" t="str">
        <f t="shared" si="2"/>
        <v>Armador</v>
      </c>
      <c r="AI11" s="68">
        <f t="shared" si="1"/>
        <v>0</v>
      </c>
      <c r="AJ11" s="5"/>
    </row>
    <row r="12" spans="1:36" s="2" customFormat="1">
      <c r="A12" s="61" t="s">
        <v>13</v>
      </c>
      <c r="B12" s="73"/>
      <c r="C12" s="73"/>
      <c r="D12" s="55"/>
      <c r="E12" s="55"/>
      <c r="F12" s="55"/>
      <c r="G12" s="56"/>
      <c r="H12" s="56"/>
      <c r="I12" s="73"/>
      <c r="J12" s="56"/>
      <c r="K12" s="73"/>
      <c r="L12" s="55"/>
      <c r="M12" s="55"/>
      <c r="N12" s="56"/>
      <c r="O12" s="56"/>
      <c r="P12" s="73"/>
      <c r="Q12" s="56"/>
      <c r="R12" s="73"/>
      <c r="S12" s="55"/>
      <c r="T12" s="55"/>
      <c r="U12" s="56"/>
      <c r="V12" s="56"/>
      <c r="W12" s="73"/>
      <c r="X12" s="56"/>
      <c r="Y12" s="73"/>
      <c r="Z12" s="73"/>
      <c r="AA12" s="56"/>
      <c r="AB12" s="56"/>
      <c r="AC12" s="55"/>
      <c r="AD12" s="55"/>
      <c r="AE12" s="56"/>
      <c r="AF12" s="62"/>
      <c r="AG12" s="5"/>
      <c r="AH12" s="88" t="str">
        <f t="shared" si="2"/>
        <v>Operador de Argamassadeira</v>
      </c>
      <c r="AI12" s="68">
        <f t="shared" si="1"/>
        <v>0</v>
      </c>
      <c r="AJ12" s="5"/>
    </row>
    <row r="13" spans="1:36" s="2" customFormat="1">
      <c r="A13" s="63" t="s">
        <v>33</v>
      </c>
      <c r="B13" s="74"/>
      <c r="C13" s="74"/>
      <c r="D13" s="64"/>
      <c r="E13" s="64"/>
      <c r="F13" s="64"/>
      <c r="G13" s="74"/>
      <c r="H13" s="74"/>
      <c r="I13" s="74"/>
      <c r="J13" s="74"/>
      <c r="K13" s="74"/>
      <c r="L13" s="64"/>
      <c r="M13" s="64"/>
      <c r="N13" s="74"/>
      <c r="O13" s="74"/>
      <c r="P13" s="74"/>
      <c r="Q13" s="74"/>
      <c r="R13" s="74"/>
      <c r="S13" s="64"/>
      <c r="T13" s="64"/>
      <c r="U13" s="74"/>
      <c r="V13" s="65"/>
      <c r="W13" s="74"/>
      <c r="X13" s="65"/>
      <c r="Y13" s="74"/>
      <c r="Z13" s="74"/>
      <c r="AA13" s="74"/>
      <c r="AB13" s="65"/>
      <c r="AC13" s="64"/>
      <c r="AD13" s="64"/>
      <c r="AE13" s="65"/>
      <c r="AF13" s="66"/>
      <c r="AG13" s="5"/>
      <c r="AH13" s="88" t="str">
        <f t="shared" si="2"/>
        <v>Betoneiro</v>
      </c>
      <c r="AI13" s="69">
        <f t="shared" si="1"/>
        <v>0</v>
      </c>
      <c r="AJ13" s="5"/>
    </row>
    <row r="14" spans="1:36">
      <c r="B14" s="103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5"/>
    </row>
    <row r="15" spans="1:36" s="2" customFormat="1">
      <c r="A15" s="115" t="s">
        <v>823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7"/>
      <c r="AJ15" s="5"/>
    </row>
    <row r="16" spans="1:36" s="2" customFormat="1">
      <c r="A16" s="20" t="s">
        <v>10</v>
      </c>
      <c r="B16" s="70">
        <v>2</v>
      </c>
      <c r="C16" s="70">
        <v>2</v>
      </c>
      <c r="D16" s="89"/>
      <c r="E16" s="89"/>
      <c r="F16" s="89"/>
      <c r="G16" s="42">
        <v>2</v>
      </c>
      <c r="H16" s="42">
        <v>2</v>
      </c>
      <c r="I16" s="70">
        <v>2</v>
      </c>
      <c r="J16" s="42">
        <v>2</v>
      </c>
      <c r="K16" s="70">
        <v>2</v>
      </c>
      <c r="L16" s="19"/>
      <c r="M16" s="19"/>
      <c r="N16" s="42">
        <v>2</v>
      </c>
      <c r="O16" s="91">
        <v>2</v>
      </c>
      <c r="P16" s="91">
        <v>2</v>
      </c>
      <c r="Q16" s="91">
        <v>2</v>
      </c>
      <c r="R16" s="91">
        <v>2</v>
      </c>
      <c r="S16" s="19"/>
      <c r="T16" s="19"/>
      <c r="U16" s="42"/>
      <c r="V16" s="42"/>
      <c r="W16" s="90"/>
      <c r="X16" s="42"/>
      <c r="Y16" s="90"/>
      <c r="Z16" s="70"/>
      <c r="AA16" s="42"/>
      <c r="AB16" s="42"/>
      <c r="AC16" s="19"/>
      <c r="AD16" s="19"/>
      <c r="AE16" s="42"/>
      <c r="AF16" s="45"/>
      <c r="AG16" s="5"/>
      <c r="AH16" s="88" t="str">
        <f>A16</f>
        <v>Pedreiro</v>
      </c>
      <c r="AI16" s="94">
        <f>SUM(B16:AF16)</f>
        <v>24</v>
      </c>
      <c r="AJ16" s="5"/>
    </row>
    <row r="17" spans="1:36" s="2" customFormat="1">
      <c r="A17" s="21" t="s">
        <v>9</v>
      </c>
      <c r="B17" s="71"/>
      <c r="C17" s="71"/>
      <c r="D17" s="55"/>
      <c r="E17" s="55"/>
      <c r="F17" s="55"/>
      <c r="G17" s="43"/>
      <c r="H17" s="43"/>
      <c r="I17" s="71"/>
      <c r="J17" s="43"/>
      <c r="K17" s="71"/>
      <c r="L17" s="10"/>
      <c r="M17" s="10"/>
      <c r="N17" s="43"/>
      <c r="O17" s="56"/>
      <c r="P17" s="56"/>
      <c r="Q17" s="56"/>
      <c r="R17" s="56"/>
      <c r="S17" s="10"/>
      <c r="T17" s="10"/>
      <c r="U17" s="43"/>
      <c r="V17" s="43"/>
      <c r="W17" s="73"/>
      <c r="X17" s="43"/>
      <c r="Y17" s="73"/>
      <c r="Z17" s="71"/>
      <c r="AA17" s="43"/>
      <c r="AB17" s="43"/>
      <c r="AC17" s="10"/>
      <c r="AD17" s="10"/>
      <c r="AE17" s="43"/>
      <c r="AF17" s="46"/>
      <c r="AG17" s="5"/>
      <c r="AH17" s="88" t="str">
        <f t="shared" ref="AH17:AH20" si="3">A17</f>
        <v>Meio Oficial</v>
      </c>
      <c r="AI17" s="85">
        <f>SUM(B17:AF17)</f>
        <v>0</v>
      </c>
      <c r="AJ17" s="5"/>
    </row>
    <row r="18" spans="1:36" s="2" customFormat="1">
      <c r="A18" s="21" t="s">
        <v>7</v>
      </c>
      <c r="B18" s="71">
        <v>1</v>
      </c>
      <c r="C18" s="71">
        <v>2</v>
      </c>
      <c r="D18" s="55"/>
      <c r="E18" s="55"/>
      <c r="F18" s="55"/>
      <c r="G18" s="43">
        <v>2</v>
      </c>
      <c r="H18" s="43">
        <v>2</v>
      </c>
      <c r="I18" s="71">
        <v>2</v>
      </c>
      <c r="J18" s="43">
        <v>2</v>
      </c>
      <c r="K18" s="71">
        <v>2</v>
      </c>
      <c r="L18" s="10"/>
      <c r="M18" s="10"/>
      <c r="N18" s="43">
        <v>2</v>
      </c>
      <c r="O18" s="56">
        <v>2</v>
      </c>
      <c r="P18" s="56">
        <v>2</v>
      </c>
      <c r="Q18" s="56">
        <v>2</v>
      </c>
      <c r="R18" s="56">
        <v>2</v>
      </c>
      <c r="S18" s="10"/>
      <c r="T18" s="10"/>
      <c r="U18" s="43"/>
      <c r="V18" s="43"/>
      <c r="W18" s="73"/>
      <c r="X18" s="43"/>
      <c r="Y18" s="73"/>
      <c r="Z18" s="71"/>
      <c r="AA18" s="43"/>
      <c r="AB18" s="43"/>
      <c r="AC18" s="10"/>
      <c r="AD18" s="10"/>
      <c r="AE18" s="43"/>
      <c r="AF18" s="46"/>
      <c r="AG18" s="5"/>
      <c r="AH18" s="88" t="str">
        <f t="shared" si="3"/>
        <v>Servente</v>
      </c>
      <c r="AI18" s="85">
        <f>SUM(B18:AF18)</f>
        <v>23</v>
      </c>
      <c r="AJ18" s="5"/>
    </row>
    <row r="19" spans="1:36" s="2" customFormat="1">
      <c r="A19" s="21" t="s">
        <v>14</v>
      </c>
      <c r="B19" s="71"/>
      <c r="C19" s="71"/>
      <c r="D19" s="55"/>
      <c r="E19" s="55"/>
      <c r="F19" s="55"/>
      <c r="G19" s="43"/>
      <c r="H19" s="43"/>
      <c r="I19" s="71"/>
      <c r="J19" s="43"/>
      <c r="K19" s="71"/>
      <c r="L19" s="10"/>
      <c r="M19" s="10"/>
      <c r="N19" s="43"/>
      <c r="O19" s="43"/>
      <c r="P19" s="71"/>
      <c r="Q19" s="43"/>
      <c r="R19" s="71"/>
      <c r="S19" s="10"/>
      <c r="T19" s="10"/>
      <c r="U19" s="43"/>
      <c r="V19" s="43"/>
      <c r="W19" s="71"/>
      <c r="X19" s="43"/>
      <c r="Y19" s="71"/>
      <c r="Z19" s="71"/>
      <c r="AA19" s="43"/>
      <c r="AB19" s="43"/>
      <c r="AC19" s="10"/>
      <c r="AD19" s="10"/>
      <c r="AE19" s="43"/>
      <c r="AF19" s="46"/>
      <c r="AG19" s="5"/>
      <c r="AH19" s="88" t="str">
        <f t="shared" si="3"/>
        <v>Encarregado</v>
      </c>
      <c r="AI19" s="85">
        <f>SUM(B19:AF19)</f>
        <v>0</v>
      </c>
      <c r="AJ19" s="5"/>
    </row>
    <row r="20" spans="1:36" s="2" customFormat="1">
      <c r="A20" s="11" t="s">
        <v>20</v>
      </c>
      <c r="B20" s="9"/>
      <c r="C20" s="9"/>
      <c r="D20" s="55"/>
      <c r="E20" s="55"/>
      <c r="F20" s="55"/>
      <c r="G20" s="44"/>
      <c r="H20" s="44"/>
      <c r="I20" s="9"/>
      <c r="J20" s="44"/>
      <c r="K20" s="9"/>
      <c r="L20" s="15"/>
      <c r="M20" s="15"/>
      <c r="N20" s="44"/>
      <c r="O20" s="44"/>
      <c r="P20" s="9"/>
      <c r="Q20" s="44"/>
      <c r="R20" s="9"/>
      <c r="S20" s="15"/>
      <c r="T20" s="15"/>
      <c r="U20" s="44"/>
      <c r="V20" s="44"/>
      <c r="W20" s="9"/>
      <c r="X20" s="44"/>
      <c r="Y20" s="9"/>
      <c r="Z20" s="9"/>
      <c r="AA20" s="44"/>
      <c r="AB20" s="44"/>
      <c r="AC20" s="15"/>
      <c r="AD20" s="15"/>
      <c r="AE20" s="44"/>
      <c r="AF20" s="47"/>
      <c r="AG20" s="5"/>
      <c r="AH20" s="88" t="str">
        <f t="shared" si="3"/>
        <v>Armador</v>
      </c>
      <c r="AI20" s="18">
        <f>SUM(B20:AF20)</f>
        <v>0</v>
      </c>
      <c r="AJ20" s="5"/>
    </row>
    <row r="21" spans="1:36">
      <c r="B21" s="103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5"/>
    </row>
    <row r="22" spans="1:36" s="2" customFormat="1">
      <c r="A22" s="107" t="s">
        <v>17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9"/>
      <c r="AJ22" s="5"/>
    </row>
    <row r="23" spans="1:36" s="2" customFormat="1">
      <c r="A23" s="88" t="s">
        <v>10</v>
      </c>
      <c r="B23" s="90">
        <v>2</v>
      </c>
      <c r="C23" s="90">
        <v>1</v>
      </c>
      <c r="D23" s="89"/>
      <c r="E23" s="89"/>
      <c r="F23" s="89"/>
      <c r="G23" s="91">
        <v>2</v>
      </c>
      <c r="H23" s="91">
        <v>2</v>
      </c>
      <c r="I23" s="90">
        <v>2</v>
      </c>
      <c r="J23" s="91">
        <v>1</v>
      </c>
      <c r="K23" s="90">
        <v>2</v>
      </c>
      <c r="L23" s="89"/>
      <c r="M23" s="89"/>
      <c r="N23" s="91">
        <v>3</v>
      </c>
      <c r="O23" s="91">
        <v>3</v>
      </c>
      <c r="P23" s="91">
        <v>4</v>
      </c>
      <c r="Q23" s="91">
        <v>4</v>
      </c>
      <c r="R23" s="91">
        <v>5</v>
      </c>
      <c r="S23" s="91"/>
      <c r="T23" s="91"/>
      <c r="U23" s="91"/>
      <c r="V23" s="89"/>
      <c r="W23" s="89"/>
      <c r="X23" s="91"/>
      <c r="Y23" s="90"/>
      <c r="Z23" s="90"/>
      <c r="AA23" s="90"/>
      <c r="AB23" s="90"/>
      <c r="AC23" s="89"/>
      <c r="AD23" s="89"/>
      <c r="AE23" s="91"/>
      <c r="AF23" s="92"/>
      <c r="AG23" s="5"/>
      <c r="AH23" s="88" t="str">
        <f>A23</f>
        <v>Pedreiro</v>
      </c>
      <c r="AI23" s="93">
        <f>SUM(B23:AF23)</f>
        <v>31</v>
      </c>
      <c r="AJ23" s="5"/>
    </row>
    <row r="24" spans="1:36" s="2" customFormat="1">
      <c r="A24" s="61" t="s">
        <v>18</v>
      </c>
      <c r="B24" s="73">
        <v>1</v>
      </c>
      <c r="C24" s="73">
        <v>2</v>
      </c>
      <c r="D24" s="55"/>
      <c r="E24" s="55"/>
      <c r="F24" s="55"/>
      <c r="G24" s="56">
        <v>2</v>
      </c>
      <c r="H24" s="56">
        <v>2</v>
      </c>
      <c r="I24" s="73">
        <v>2</v>
      </c>
      <c r="J24" s="56">
        <v>2</v>
      </c>
      <c r="K24" s="73">
        <v>2</v>
      </c>
      <c r="L24" s="55"/>
      <c r="M24" s="55"/>
      <c r="N24" s="56">
        <v>2</v>
      </c>
      <c r="O24" s="56">
        <v>2</v>
      </c>
      <c r="P24" s="56">
        <v>2</v>
      </c>
      <c r="Q24" s="56">
        <v>2</v>
      </c>
      <c r="R24" s="56">
        <v>1</v>
      </c>
      <c r="S24" s="56"/>
      <c r="T24" s="56"/>
      <c r="U24" s="56"/>
      <c r="V24" s="55"/>
      <c r="W24" s="55"/>
      <c r="X24" s="56"/>
      <c r="Y24" s="73"/>
      <c r="Z24" s="73"/>
      <c r="AA24" s="73"/>
      <c r="AB24" s="73"/>
      <c r="AC24" s="55"/>
      <c r="AD24" s="55"/>
      <c r="AE24" s="56"/>
      <c r="AF24" s="62"/>
      <c r="AG24" s="5"/>
      <c r="AH24" s="88" t="str">
        <f t="shared" ref="AH24:AH27" si="4">A24</f>
        <v>Meio-Oficial</v>
      </c>
      <c r="AI24" s="68">
        <f>SUM(B24:AF24)</f>
        <v>22</v>
      </c>
      <c r="AJ24" s="5"/>
    </row>
    <row r="25" spans="1:36" s="2" customFormat="1">
      <c r="A25" s="61" t="s">
        <v>7</v>
      </c>
      <c r="B25" s="73">
        <v>4</v>
      </c>
      <c r="C25" s="73">
        <v>9</v>
      </c>
      <c r="D25" s="55"/>
      <c r="E25" s="55"/>
      <c r="F25" s="55"/>
      <c r="G25" s="56">
        <v>7</v>
      </c>
      <c r="H25" s="56">
        <v>8</v>
      </c>
      <c r="I25" s="73">
        <v>9</v>
      </c>
      <c r="J25" s="56">
        <v>9</v>
      </c>
      <c r="K25" s="73">
        <v>10</v>
      </c>
      <c r="L25" s="55"/>
      <c r="M25" s="55"/>
      <c r="N25" s="56">
        <v>9</v>
      </c>
      <c r="O25" s="56">
        <v>9</v>
      </c>
      <c r="P25" s="56">
        <v>9</v>
      </c>
      <c r="Q25" s="56">
        <v>7</v>
      </c>
      <c r="R25" s="56">
        <v>8</v>
      </c>
      <c r="S25" s="56"/>
      <c r="T25" s="56"/>
      <c r="U25" s="56"/>
      <c r="V25" s="55"/>
      <c r="W25" s="55"/>
      <c r="X25" s="56"/>
      <c r="Y25" s="73"/>
      <c r="Z25" s="73"/>
      <c r="AA25" s="73"/>
      <c r="AB25" s="73"/>
      <c r="AC25" s="55"/>
      <c r="AD25" s="55"/>
      <c r="AE25" s="56"/>
      <c r="AF25" s="62"/>
      <c r="AG25" s="5"/>
      <c r="AH25" s="88" t="str">
        <f t="shared" si="4"/>
        <v>Servente</v>
      </c>
      <c r="AI25" s="68">
        <f>SUM(B25:AF25)</f>
        <v>98</v>
      </c>
      <c r="AJ25" s="5"/>
    </row>
    <row r="26" spans="1:36" s="2" customFormat="1">
      <c r="A26" s="61" t="s">
        <v>19</v>
      </c>
      <c r="B26" s="73"/>
      <c r="C26" s="73"/>
      <c r="D26" s="55"/>
      <c r="E26" s="55"/>
      <c r="F26" s="55"/>
      <c r="G26" s="56"/>
      <c r="H26" s="56"/>
      <c r="I26" s="73"/>
      <c r="J26" s="56"/>
      <c r="K26" s="73"/>
      <c r="L26" s="55"/>
      <c r="M26" s="55"/>
      <c r="N26" s="56"/>
      <c r="O26" s="56"/>
      <c r="P26" s="73"/>
      <c r="Q26" s="56"/>
      <c r="R26" s="73"/>
      <c r="S26" s="73"/>
      <c r="T26" s="56"/>
      <c r="U26" s="56"/>
      <c r="V26" s="55"/>
      <c r="W26" s="55"/>
      <c r="X26" s="56"/>
      <c r="Y26" s="73"/>
      <c r="Z26" s="73"/>
      <c r="AA26" s="56"/>
      <c r="AB26" s="56"/>
      <c r="AC26" s="55"/>
      <c r="AD26" s="55"/>
      <c r="AE26" s="56"/>
      <c r="AF26" s="62"/>
      <c r="AG26" s="5"/>
      <c r="AH26" s="88" t="str">
        <f t="shared" si="4"/>
        <v>Carpinteiro</v>
      </c>
      <c r="AI26" s="68">
        <f>SUM(B26:AF26)</f>
        <v>0</v>
      </c>
      <c r="AJ26" s="5"/>
    </row>
    <row r="27" spans="1:36" s="2" customFormat="1">
      <c r="A27" s="63" t="s">
        <v>20</v>
      </c>
      <c r="B27" s="74"/>
      <c r="C27" s="74"/>
      <c r="D27" s="55"/>
      <c r="E27" s="55"/>
      <c r="F27" s="55"/>
      <c r="G27" s="65"/>
      <c r="H27" s="65"/>
      <c r="I27" s="74"/>
      <c r="J27" s="65"/>
      <c r="K27" s="74"/>
      <c r="L27" s="64"/>
      <c r="M27" s="64"/>
      <c r="N27" s="65"/>
      <c r="O27" s="74"/>
      <c r="P27" s="74"/>
      <c r="Q27" s="74"/>
      <c r="R27" s="74"/>
      <c r="S27" s="74"/>
      <c r="T27" s="74"/>
      <c r="U27" s="74"/>
      <c r="V27" s="64"/>
      <c r="W27" s="64"/>
      <c r="X27" s="65"/>
      <c r="Y27" s="74"/>
      <c r="Z27" s="74"/>
      <c r="AA27" s="65"/>
      <c r="AB27" s="65"/>
      <c r="AC27" s="64"/>
      <c r="AD27" s="64"/>
      <c r="AE27" s="65"/>
      <c r="AF27" s="66"/>
      <c r="AG27" s="5"/>
      <c r="AH27" s="88" t="str">
        <f t="shared" si="4"/>
        <v>Armador</v>
      </c>
      <c r="AI27" s="69">
        <f>SUM(B27:AF27)</f>
        <v>0</v>
      </c>
      <c r="AJ27" s="5"/>
    </row>
    <row r="28" spans="1:36">
      <c r="B28" s="103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5"/>
    </row>
    <row r="29" spans="1:36" s="2" customFormat="1">
      <c r="A29" s="107" t="s">
        <v>21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11"/>
      <c r="AI29" s="112"/>
      <c r="AJ29" s="5"/>
    </row>
    <row r="30" spans="1:36" s="2" customFormat="1" ht="15" customHeight="1">
      <c r="A30" s="88" t="s">
        <v>10</v>
      </c>
      <c r="B30" s="90">
        <v>6</v>
      </c>
      <c r="C30" s="90">
        <v>7</v>
      </c>
      <c r="D30" s="89"/>
      <c r="E30" s="89"/>
      <c r="F30" s="89"/>
      <c r="G30" s="90">
        <v>6</v>
      </c>
      <c r="H30" s="90">
        <v>7</v>
      </c>
      <c r="I30" s="90">
        <v>7</v>
      </c>
      <c r="J30" s="90">
        <v>7</v>
      </c>
      <c r="K30" s="90">
        <v>7</v>
      </c>
      <c r="L30" s="89"/>
      <c r="M30" s="89"/>
      <c r="N30" s="90">
        <v>6</v>
      </c>
      <c r="O30" s="90">
        <v>7</v>
      </c>
      <c r="P30" s="90">
        <v>8</v>
      </c>
      <c r="Q30" s="90">
        <v>8</v>
      </c>
      <c r="R30" s="90">
        <v>8</v>
      </c>
      <c r="S30" s="90"/>
      <c r="T30" s="90"/>
      <c r="U30" s="90"/>
      <c r="V30" s="89"/>
      <c r="W30" s="89"/>
      <c r="X30" s="90"/>
      <c r="Y30" s="90"/>
      <c r="Z30" s="90"/>
      <c r="AA30" s="90"/>
      <c r="AB30" s="90"/>
      <c r="AC30" s="89"/>
      <c r="AD30" s="89"/>
      <c r="AE30" s="90"/>
      <c r="AF30" s="90"/>
      <c r="AG30" s="5"/>
      <c r="AH30" s="57" t="str">
        <f>A30</f>
        <v>Pedreiro</v>
      </c>
      <c r="AI30" s="67">
        <f>SUM(B30:AF30)</f>
        <v>84</v>
      </c>
      <c r="AJ30" s="5"/>
    </row>
    <row r="31" spans="1:36" s="2" customFormat="1">
      <c r="A31" s="61" t="s">
        <v>9</v>
      </c>
      <c r="B31" s="73">
        <v>1</v>
      </c>
      <c r="C31" s="73">
        <v>1</v>
      </c>
      <c r="D31" s="55"/>
      <c r="E31" s="55"/>
      <c r="F31" s="55"/>
      <c r="G31" s="73">
        <v>1</v>
      </c>
      <c r="H31" s="73">
        <v>2</v>
      </c>
      <c r="I31" s="73">
        <v>2</v>
      </c>
      <c r="J31" s="73">
        <v>1</v>
      </c>
      <c r="K31" s="73">
        <v>1</v>
      </c>
      <c r="L31" s="55"/>
      <c r="M31" s="55"/>
      <c r="N31" s="73">
        <v>2</v>
      </c>
      <c r="O31" s="73">
        <v>2</v>
      </c>
      <c r="P31" s="73">
        <v>2</v>
      </c>
      <c r="Q31" s="73">
        <v>2</v>
      </c>
      <c r="R31" s="73">
        <v>2</v>
      </c>
      <c r="S31" s="73"/>
      <c r="T31" s="73"/>
      <c r="U31" s="73"/>
      <c r="V31" s="55"/>
      <c r="W31" s="55"/>
      <c r="X31" s="73"/>
      <c r="Y31" s="73"/>
      <c r="Z31" s="73"/>
      <c r="AA31" s="73"/>
      <c r="AB31" s="73"/>
      <c r="AC31" s="55"/>
      <c r="AD31" s="55"/>
      <c r="AE31" s="73"/>
      <c r="AF31" s="73"/>
      <c r="AG31" s="5"/>
      <c r="AH31" s="57" t="str">
        <f t="shared" ref="AH31:AH33" si="5">A31</f>
        <v>Meio Oficial</v>
      </c>
      <c r="AI31" s="68">
        <f>SUM(B31:AF31)</f>
        <v>19</v>
      </c>
      <c r="AJ31" s="5"/>
    </row>
    <row r="32" spans="1:36" s="2" customFormat="1" ht="15" customHeight="1">
      <c r="A32" s="61" t="s">
        <v>7</v>
      </c>
      <c r="B32" s="73">
        <v>5</v>
      </c>
      <c r="C32" s="73">
        <v>5</v>
      </c>
      <c r="D32" s="55"/>
      <c r="E32" s="55"/>
      <c r="F32" s="55"/>
      <c r="G32" s="73">
        <v>3</v>
      </c>
      <c r="H32" s="73">
        <v>3</v>
      </c>
      <c r="I32" s="73">
        <v>3</v>
      </c>
      <c r="J32" s="73">
        <v>2</v>
      </c>
      <c r="K32" s="73">
        <v>5</v>
      </c>
      <c r="L32" s="55"/>
      <c r="M32" s="55"/>
      <c r="N32" s="73">
        <v>3</v>
      </c>
      <c r="O32" s="73">
        <v>4</v>
      </c>
      <c r="P32" s="73">
        <v>4</v>
      </c>
      <c r="Q32" s="73">
        <v>3</v>
      </c>
      <c r="R32" s="73">
        <v>3</v>
      </c>
      <c r="S32" s="73"/>
      <c r="T32" s="73"/>
      <c r="U32" s="73"/>
      <c r="V32" s="55"/>
      <c r="W32" s="55"/>
      <c r="X32" s="73"/>
      <c r="Y32" s="73"/>
      <c r="Z32" s="73"/>
      <c r="AA32" s="73"/>
      <c r="AB32" s="73"/>
      <c r="AC32" s="55"/>
      <c r="AD32" s="55"/>
      <c r="AE32" s="73"/>
      <c r="AF32" s="73"/>
      <c r="AG32" s="5"/>
      <c r="AH32" s="57" t="str">
        <f t="shared" si="5"/>
        <v>Servente</v>
      </c>
      <c r="AI32" s="68">
        <f>SUM(B32:AF32)</f>
        <v>43</v>
      </c>
      <c r="AJ32" s="5"/>
    </row>
    <row r="33" spans="1:36" s="2" customFormat="1" ht="15" customHeight="1">
      <c r="A33" s="63" t="s">
        <v>14</v>
      </c>
      <c r="B33" s="74"/>
      <c r="C33" s="74"/>
      <c r="D33" s="55"/>
      <c r="E33" s="55"/>
      <c r="F33" s="55"/>
      <c r="G33" s="74"/>
      <c r="H33" s="74"/>
      <c r="I33" s="74"/>
      <c r="J33" s="74"/>
      <c r="K33" s="74"/>
      <c r="L33" s="64"/>
      <c r="M33" s="64"/>
      <c r="N33" s="74"/>
      <c r="O33" s="74"/>
      <c r="P33" s="74"/>
      <c r="Q33" s="74"/>
      <c r="R33" s="74"/>
      <c r="S33" s="74"/>
      <c r="T33" s="74"/>
      <c r="U33" s="74"/>
      <c r="V33" s="64"/>
      <c r="W33" s="64"/>
      <c r="X33" s="74"/>
      <c r="Y33" s="74"/>
      <c r="Z33" s="74"/>
      <c r="AA33" s="74"/>
      <c r="AB33" s="74"/>
      <c r="AC33" s="64"/>
      <c r="AD33" s="64"/>
      <c r="AE33" s="74"/>
      <c r="AF33" s="74"/>
      <c r="AG33" s="5"/>
      <c r="AH33" s="57" t="str">
        <f t="shared" si="5"/>
        <v>Encarregado</v>
      </c>
      <c r="AI33" s="69">
        <f>SUM(B33:AF33)</f>
        <v>0</v>
      </c>
      <c r="AJ33" s="5"/>
    </row>
    <row r="34" spans="1:36">
      <c r="B34" s="103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5"/>
    </row>
    <row r="35" spans="1:36" s="2" customFormat="1">
      <c r="A35" s="110" t="s">
        <v>831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08"/>
      <c r="AH35" s="111"/>
      <c r="AI35" s="112"/>
      <c r="AJ35" s="5"/>
    </row>
    <row r="36" spans="1:36" s="2" customFormat="1" ht="15" customHeight="1">
      <c r="A36" s="57" t="s">
        <v>19</v>
      </c>
      <c r="B36" s="72"/>
      <c r="C36" s="72"/>
      <c r="D36" s="58"/>
      <c r="E36" s="58"/>
      <c r="F36" s="58"/>
      <c r="G36" s="59"/>
      <c r="H36" s="59"/>
      <c r="I36" s="72"/>
      <c r="J36" s="59"/>
      <c r="K36" s="72"/>
      <c r="L36" s="58"/>
      <c r="M36" s="58"/>
      <c r="N36" s="59">
        <v>2</v>
      </c>
      <c r="O36" s="91">
        <v>2</v>
      </c>
      <c r="P36" s="91">
        <v>2</v>
      </c>
      <c r="Q36" s="91">
        <v>2</v>
      </c>
      <c r="R36" s="91">
        <v>2</v>
      </c>
      <c r="S36" s="91"/>
      <c r="T36" s="59"/>
      <c r="U36" s="59"/>
      <c r="V36" s="58"/>
      <c r="W36" s="58"/>
      <c r="X36" s="59"/>
      <c r="Y36" s="72"/>
      <c r="Z36" s="72"/>
      <c r="AA36" s="59"/>
      <c r="AB36" s="59"/>
      <c r="AC36" s="58"/>
      <c r="AD36" s="58"/>
      <c r="AE36" s="59"/>
      <c r="AF36" s="60"/>
      <c r="AG36" s="5"/>
      <c r="AH36" s="75" t="str">
        <f>A36</f>
        <v>Carpinteiro</v>
      </c>
      <c r="AI36" s="67">
        <f>SUM(B36:AF36)</f>
        <v>10</v>
      </c>
      <c r="AJ36" s="5"/>
    </row>
    <row r="37" spans="1:36" s="2" customFormat="1">
      <c r="A37" s="63" t="s">
        <v>7</v>
      </c>
      <c r="B37" s="74"/>
      <c r="C37" s="74"/>
      <c r="D37" s="64"/>
      <c r="E37" s="64"/>
      <c r="F37" s="64"/>
      <c r="G37" s="65"/>
      <c r="H37" s="65"/>
      <c r="I37" s="74"/>
      <c r="J37" s="65"/>
      <c r="K37" s="74"/>
      <c r="L37" s="64"/>
      <c r="M37" s="64"/>
      <c r="N37" s="65"/>
      <c r="O37" s="65"/>
      <c r="P37" s="74"/>
      <c r="Q37" s="65"/>
      <c r="R37" s="74"/>
      <c r="S37" s="74"/>
      <c r="T37" s="65"/>
      <c r="U37" s="65"/>
      <c r="V37" s="64"/>
      <c r="W37" s="64"/>
      <c r="X37" s="65"/>
      <c r="Y37" s="74"/>
      <c r="Z37" s="74"/>
      <c r="AA37" s="65"/>
      <c r="AB37" s="65"/>
      <c r="AC37" s="64"/>
      <c r="AD37" s="64"/>
      <c r="AE37" s="65"/>
      <c r="AF37" s="66"/>
      <c r="AG37" s="5"/>
      <c r="AH37" s="76" t="str">
        <f>A37</f>
        <v>Servente</v>
      </c>
      <c r="AI37" s="69">
        <f>SUM(B37:AF37)</f>
        <v>0</v>
      </c>
      <c r="AJ37" s="5"/>
    </row>
    <row r="39" spans="1:36" s="2" customFormat="1">
      <c r="A39" s="107" t="s">
        <v>825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9"/>
      <c r="AJ39" s="5"/>
    </row>
    <row r="40" spans="1:36" s="2" customFormat="1">
      <c r="A40" s="86" t="s">
        <v>826</v>
      </c>
      <c r="B40" s="9">
        <v>5</v>
      </c>
      <c r="C40" s="9">
        <v>5</v>
      </c>
      <c r="D40" s="15"/>
      <c r="E40" s="15"/>
      <c r="F40" s="15"/>
      <c r="G40" s="44">
        <v>4</v>
      </c>
      <c r="H40" s="44">
        <v>5</v>
      </c>
      <c r="I40" s="9">
        <v>4</v>
      </c>
      <c r="J40" s="44">
        <v>5</v>
      </c>
      <c r="K40" s="9">
        <v>5</v>
      </c>
      <c r="L40" s="15"/>
      <c r="M40" s="15"/>
      <c r="N40" s="44">
        <v>4</v>
      </c>
      <c r="O40" s="91">
        <v>2.5</v>
      </c>
      <c r="P40" s="91">
        <v>6</v>
      </c>
      <c r="Q40" s="91">
        <v>6</v>
      </c>
      <c r="R40" s="91">
        <v>6</v>
      </c>
      <c r="S40" s="91"/>
      <c r="T40" s="44"/>
      <c r="U40" s="44"/>
      <c r="V40" s="15"/>
      <c r="W40" s="15"/>
      <c r="X40" s="44"/>
      <c r="Y40" s="9"/>
      <c r="Z40" s="9"/>
      <c r="AA40" s="44"/>
      <c r="AB40" s="44"/>
      <c r="AC40" s="15"/>
      <c r="AD40" s="15"/>
      <c r="AE40" s="44"/>
      <c r="AF40" s="47"/>
      <c r="AG40" s="5"/>
      <c r="AH40" s="14" t="str">
        <f>A40</f>
        <v>Poceiro</v>
      </c>
      <c r="AI40" s="87">
        <f>SUM(B40:AF40)</f>
        <v>57.5</v>
      </c>
      <c r="AJ40" s="5"/>
    </row>
    <row r="41" spans="1:36">
      <c r="A41" s="86" t="s">
        <v>827</v>
      </c>
      <c r="B41" s="9">
        <v>11</v>
      </c>
      <c r="C41" s="9">
        <v>11</v>
      </c>
      <c r="D41" s="15"/>
      <c r="E41" s="15"/>
      <c r="F41" s="15"/>
      <c r="G41" s="44">
        <v>11</v>
      </c>
      <c r="H41" s="44">
        <v>11</v>
      </c>
      <c r="I41" s="9">
        <v>10</v>
      </c>
      <c r="J41" s="44">
        <v>11</v>
      </c>
      <c r="K41" s="9">
        <v>7</v>
      </c>
      <c r="L41" s="15"/>
      <c r="M41" s="15"/>
      <c r="N41" s="44">
        <v>6</v>
      </c>
      <c r="O41" s="91">
        <v>7</v>
      </c>
      <c r="P41" s="91">
        <v>9</v>
      </c>
      <c r="Q41" s="91">
        <v>10</v>
      </c>
      <c r="R41" s="91">
        <v>7</v>
      </c>
      <c r="S41" s="91"/>
      <c r="T41" s="44"/>
      <c r="U41" s="44"/>
      <c r="V41" s="15"/>
      <c r="W41" s="15"/>
      <c r="X41" s="44"/>
      <c r="Y41" s="9"/>
      <c r="Z41" s="9"/>
      <c r="AA41" s="44"/>
      <c r="AB41" s="44"/>
      <c r="AC41" s="15"/>
      <c r="AD41" s="15"/>
      <c r="AE41" s="44"/>
      <c r="AF41" s="47"/>
      <c r="AG41" s="5"/>
      <c r="AH41" s="14"/>
      <c r="AI41" s="87"/>
    </row>
    <row r="42" spans="1:36">
      <c r="A42" s="86"/>
      <c r="B42" s="9"/>
      <c r="C42" s="9"/>
      <c r="D42" s="15"/>
      <c r="E42" s="15"/>
      <c r="F42" s="15"/>
      <c r="G42" s="44"/>
      <c r="H42" s="44"/>
      <c r="I42" s="9"/>
      <c r="J42" s="44"/>
      <c r="K42" s="9"/>
      <c r="L42" s="15"/>
      <c r="M42" s="15"/>
      <c r="N42" s="44"/>
      <c r="O42" s="91"/>
      <c r="P42" s="91"/>
      <c r="Q42" s="91"/>
      <c r="R42" s="91"/>
      <c r="S42" s="91"/>
      <c r="T42" s="44"/>
      <c r="U42" s="44"/>
      <c r="V42" s="15"/>
      <c r="W42" s="15"/>
      <c r="X42" s="44"/>
      <c r="Y42" s="9"/>
      <c r="Z42" s="9"/>
      <c r="AA42" s="44"/>
      <c r="AB42" s="44"/>
      <c r="AC42" s="15"/>
      <c r="AD42" s="15"/>
      <c r="AE42" s="44"/>
      <c r="AF42" s="47"/>
      <c r="AG42" s="5"/>
      <c r="AH42" s="14"/>
      <c r="AI42" s="87"/>
    </row>
    <row r="43" spans="1:36">
      <c r="A43" s="86"/>
      <c r="B43" s="9"/>
      <c r="C43" s="9"/>
      <c r="D43" s="15"/>
      <c r="E43" s="15"/>
      <c r="F43" s="15"/>
      <c r="G43" s="44"/>
      <c r="H43" s="44"/>
      <c r="I43" s="9"/>
      <c r="J43" s="44"/>
      <c r="K43" s="9"/>
      <c r="L43" s="15"/>
      <c r="M43" s="15"/>
      <c r="N43" s="44"/>
      <c r="O43" s="91"/>
      <c r="P43" s="91"/>
      <c r="Q43" s="91"/>
      <c r="R43" s="91"/>
      <c r="S43" s="91"/>
      <c r="T43" s="44"/>
      <c r="U43" s="44"/>
      <c r="V43" s="15"/>
      <c r="W43" s="15"/>
      <c r="X43" s="44"/>
      <c r="Y43" s="9"/>
      <c r="Z43" s="9"/>
      <c r="AA43" s="44"/>
      <c r="AB43" s="44"/>
      <c r="AC43" s="15"/>
      <c r="AD43" s="15"/>
      <c r="AE43" s="44"/>
      <c r="AF43" s="47"/>
      <c r="AG43" s="5"/>
      <c r="AH43" s="14">
        <f>A43</f>
        <v>0</v>
      </c>
      <c r="AI43" s="87">
        <f>SUM(B43:AF43)</f>
        <v>0</v>
      </c>
    </row>
    <row r="45" spans="1:36" s="2" customFormat="1">
      <c r="A45" s="110" t="s">
        <v>828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08"/>
      <c r="AH45" s="111"/>
      <c r="AI45" s="112"/>
      <c r="AJ45" s="5"/>
    </row>
    <row r="46" spans="1:36" s="2" customFormat="1" ht="15" customHeight="1">
      <c r="A46" s="57" t="s">
        <v>829</v>
      </c>
      <c r="B46" s="72"/>
      <c r="C46" s="72"/>
      <c r="D46" s="58"/>
      <c r="E46" s="58"/>
      <c r="F46" s="58"/>
      <c r="G46" s="59"/>
      <c r="H46" s="59"/>
      <c r="I46" s="72"/>
      <c r="J46" s="59"/>
      <c r="K46" s="72"/>
      <c r="L46" s="72"/>
      <c r="M46" s="59"/>
      <c r="N46" s="59"/>
      <c r="O46" s="58"/>
      <c r="P46" s="58"/>
      <c r="Q46" s="59"/>
      <c r="R46" s="72"/>
      <c r="S46" s="72"/>
      <c r="T46" s="59"/>
      <c r="U46" s="59"/>
      <c r="V46" s="58"/>
      <c r="W46" s="58"/>
      <c r="X46" s="59"/>
      <c r="Y46" s="72"/>
      <c r="Z46" s="72"/>
      <c r="AA46" s="59"/>
      <c r="AB46" s="59"/>
      <c r="AC46" s="58"/>
      <c r="AD46" s="58"/>
      <c r="AE46" s="59"/>
      <c r="AF46" s="60"/>
      <c r="AG46" s="5"/>
      <c r="AH46" s="75" t="str">
        <f>A46</f>
        <v>Pintor</v>
      </c>
      <c r="AI46" s="67">
        <f>SUM(B46:AF46)</f>
        <v>0</v>
      </c>
      <c r="AJ46" s="5"/>
    </row>
    <row r="47" spans="1:36" s="2" customFormat="1">
      <c r="A47" s="63" t="s">
        <v>7</v>
      </c>
      <c r="B47" s="74"/>
      <c r="C47" s="74"/>
      <c r="D47" s="64"/>
      <c r="E47" s="64"/>
      <c r="F47" s="64"/>
      <c r="G47" s="65"/>
      <c r="H47" s="65"/>
      <c r="I47" s="74"/>
      <c r="J47" s="65"/>
      <c r="K47" s="74"/>
      <c r="L47" s="74"/>
      <c r="M47" s="65"/>
      <c r="N47" s="65"/>
      <c r="O47" s="64"/>
      <c r="P47" s="64"/>
      <c r="Q47" s="65"/>
      <c r="R47" s="74"/>
      <c r="S47" s="74"/>
      <c r="T47" s="65"/>
      <c r="U47" s="65"/>
      <c r="V47" s="64"/>
      <c r="W47" s="64"/>
      <c r="X47" s="65"/>
      <c r="Y47" s="74"/>
      <c r="Z47" s="74"/>
      <c r="AA47" s="65"/>
      <c r="AB47" s="65"/>
      <c r="AC47" s="64"/>
      <c r="AD47" s="64"/>
      <c r="AE47" s="65"/>
      <c r="AF47" s="66"/>
      <c r="AG47" s="5"/>
      <c r="AH47" s="76" t="str">
        <f>A47</f>
        <v>Servente</v>
      </c>
      <c r="AI47" s="69">
        <f>SUM(B47:AF47)</f>
        <v>0</v>
      </c>
      <c r="AJ47" s="5"/>
    </row>
    <row r="49" spans="1:36" s="2" customFormat="1">
      <c r="A49" s="110" t="s">
        <v>29</v>
      </c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08"/>
      <c r="AH49" s="111"/>
      <c r="AI49" s="112"/>
      <c r="AJ49" s="5"/>
    </row>
    <row r="50" spans="1:36" s="2" customFormat="1">
      <c r="A50" s="57" t="s">
        <v>30</v>
      </c>
      <c r="B50" s="58"/>
      <c r="C50" s="72"/>
      <c r="D50" s="72"/>
      <c r="E50" s="72"/>
      <c r="F50" s="59"/>
      <c r="G50" s="59"/>
      <c r="H50" s="58"/>
      <c r="I50" s="58"/>
      <c r="J50" s="59"/>
      <c r="K50" s="72"/>
      <c r="L50" s="72"/>
      <c r="M50" s="59"/>
      <c r="N50" s="59"/>
      <c r="O50" s="58"/>
      <c r="P50" s="58"/>
      <c r="Q50" s="59"/>
      <c r="R50" s="72"/>
      <c r="S50" s="72"/>
      <c r="T50" s="59"/>
      <c r="U50" s="59"/>
      <c r="V50" s="58"/>
      <c r="W50" s="58"/>
      <c r="X50" s="59"/>
      <c r="Y50" s="72"/>
      <c r="Z50" s="72"/>
      <c r="AA50" s="59"/>
      <c r="AB50" s="59"/>
      <c r="AC50" s="58"/>
      <c r="AD50" s="58"/>
      <c r="AE50" s="59"/>
      <c r="AF50" s="60"/>
      <c r="AG50" s="5"/>
      <c r="AH50" s="75" t="str">
        <f t="shared" ref="AH50:AH51" si="6">A50</f>
        <v>Eletricista</v>
      </c>
      <c r="AI50" s="67">
        <f t="shared" ref="AI50" si="7">SUM(B50:AF50)</f>
        <v>0</v>
      </c>
      <c r="AJ50" s="5"/>
    </row>
    <row r="51" spans="1:36" s="2" customFormat="1">
      <c r="A51" s="63" t="s">
        <v>25</v>
      </c>
      <c r="B51" s="64"/>
      <c r="C51" s="74"/>
      <c r="D51" s="74"/>
      <c r="E51" s="74"/>
      <c r="F51" s="65"/>
      <c r="G51" s="65"/>
      <c r="H51" s="64"/>
      <c r="I51" s="64"/>
      <c r="J51" s="65"/>
      <c r="K51" s="74"/>
      <c r="L51" s="74"/>
      <c r="M51" s="65"/>
      <c r="N51" s="44"/>
      <c r="O51" s="64"/>
      <c r="P51" s="64"/>
      <c r="Q51" s="44"/>
      <c r="R51" s="44"/>
      <c r="S51" s="44"/>
      <c r="T51" s="44"/>
      <c r="U51" s="44"/>
      <c r="V51" s="64"/>
      <c r="W51" s="64"/>
      <c r="X51" s="44"/>
      <c r="Y51" s="44"/>
      <c r="Z51" s="44"/>
      <c r="AA51" s="44"/>
      <c r="AB51" s="44"/>
      <c r="AC51" s="64"/>
      <c r="AD51" s="64"/>
      <c r="AE51" s="65"/>
      <c r="AF51" s="66"/>
      <c r="AG51" s="5"/>
      <c r="AH51" s="76" t="str">
        <f t="shared" si="6"/>
        <v>Bombeiro</v>
      </c>
      <c r="AI51" s="69">
        <f>SUM(B51:AF51)</f>
        <v>0</v>
      </c>
      <c r="AJ51" s="5"/>
    </row>
  </sheetData>
  <mergeCells count="9">
    <mergeCell ref="A39:AI39"/>
    <mergeCell ref="A45:AI45"/>
    <mergeCell ref="A49:AI49"/>
    <mergeCell ref="B1:AG2"/>
    <mergeCell ref="A6:AI6"/>
    <mergeCell ref="A22:AI22"/>
    <mergeCell ref="A29:AI29"/>
    <mergeCell ref="A35:AI35"/>
    <mergeCell ref="A15:AI15"/>
  </mergeCells>
  <pageMargins left="0.511811024" right="0.511811024" top="0.78740157499999996" bottom="0.78740157499999996" header="0.31496062000000002" footer="0.31496062000000002"/>
  <pageSetup paperSize="9" fitToWidth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2B3C-19AB-4705-868F-35EE7905A69C}">
  <sheetPr>
    <tabColor rgb="FF00392F"/>
    <pageSetUpPr fitToPage="1"/>
  </sheetPr>
  <dimension ref="A1:AJ51"/>
  <sheetViews>
    <sheetView showGridLines="0" zoomScale="85" zoomScaleNormal="85" workbookViewId="0">
      <pane ySplit="4" topLeftCell="A5" activePane="bottomLeft" state="frozen"/>
      <selection pane="bottomLeft" activeCell="AI4" sqref="AI4"/>
    </sheetView>
  </sheetViews>
  <sheetFormatPr defaultRowHeight="15"/>
  <cols>
    <col min="1" max="1" width="28.7109375" style="102" bestFit="1" customWidth="1"/>
    <col min="2" max="29" width="3.7109375" style="102" customWidth="1"/>
    <col min="30" max="32" width="4.42578125" style="102" customWidth="1"/>
    <col min="33" max="33" width="3.7109375" style="102" customWidth="1"/>
    <col min="34" max="34" width="27.140625" style="102" bestFit="1" customWidth="1"/>
    <col min="35" max="36" width="9.140625" style="104"/>
    <col min="37" max="16384" width="9.140625" style="102"/>
  </cols>
  <sheetData>
    <row r="1" spans="1:36" s="2" customFormat="1" ht="23.25" customHeight="1">
      <c r="A1" s="95" t="s">
        <v>832</v>
      </c>
      <c r="B1" s="113" t="s">
        <v>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"/>
      <c r="AI1" s="7"/>
      <c r="AJ1" s="5"/>
    </row>
    <row r="2" spans="1:36" s="2" customFormat="1" ht="15.75" customHeight="1">
      <c r="A2" s="35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3" t="s">
        <v>2</v>
      </c>
      <c r="AI2" s="8" t="s">
        <v>830</v>
      </c>
      <c r="AJ2" s="5"/>
    </row>
    <row r="3" spans="1:36" s="2" customFormat="1">
      <c r="A3" s="38" t="s">
        <v>4</v>
      </c>
      <c r="B3" s="4">
        <v>1</v>
      </c>
      <c r="C3" s="4">
        <f>B3+1</f>
        <v>2</v>
      </c>
      <c r="D3" s="4">
        <f t="shared" ref="D3:V3" si="0">C3+1</f>
        <v>3</v>
      </c>
      <c r="E3" s="4">
        <f t="shared" si="0"/>
        <v>4</v>
      </c>
      <c r="F3" s="4">
        <f t="shared" si="0"/>
        <v>5</v>
      </c>
      <c r="G3" s="4">
        <f t="shared" si="0"/>
        <v>6</v>
      </c>
      <c r="H3" s="4">
        <f t="shared" si="0"/>
        <v>7</v>
      </c>
      <c r="I3" s="4">
        <f t="shared" si="0"/>
        <v>8</v>
      </c>
      <c r="J3" s="4">
        <f t="shared" si="0"/>
        <v>9</v>
      </c>
      <c r="K3" s="4">
        <f t="shared" si="0"/>
        <v>10</v>
      </c>
      <c r="L3" s="4">
        <f t="shared" si="0"/>
        <v>11</v>
      </c>
      <c r="M3" s="4">
        <f>L3+1</f>
        <v>12</v>
      </c>
      <c r="N3" s="4">
        <f t="shared" si="0"/>
        <v>13</v>
      </c>
      <c r="O3" s="4">
        <f t="shared" si="0"/>
        <v>14</v>
      </c>
      <c r="P3" s="4">
        <f t="shared" si="0"/>
        <v>15</v>
      </c>
      <c r="Q3" s="4">
        <f t="shared" si="0"/>
        <v>16</v>
      </c>
      <c r="R3" s="4">
        <f t="shared" si="0"/>
        <v>17</v>
      </c>
      <c r="S3" s="4">
        <f t="shared" si="0"/>
        <v>18</v>
      </c>
      <c r="T3" s="4">
        <f t="shared" si="0"/>
        <v>19</v>
      </c>
      <c r="U3" s="4">
        <f t="shared" si="0"/>
        <v>20</v>
      </c>
      <c r="V3" s="4">
        <f t="shared" si="0"/>
        <v>21</v>
      </c>
      <c r="W3" s="4">
        <f>V3+1</f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/>
      <c r="AH3" s="33" t="s">
        <v>5</v>
      </c>
      <c r="AI3" s="37"/>
      <c r="AJ3" s="5"/>
    </row>
    <row r="4" spans="1:36" s="2" customFormat="1">
      <c r="A4" s="39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41"/>
      <c r="AI4" s="40"/>
      <c r="AJ4" s="5"/>
    </row>
    <row r="5" spans="1:36" s="2" customFormat="1" ht="10.5" customHeight="1">
      <c r="B5" s="100"/>
      <c r="C5" s="5"/>
      <c r="D5" s="5"/>
      <c r="E5" s="5"/>
      <c r="F5" s="5"/>
      <c r="G5" s="5"/>
      <c r="H5" s="101"/>
      <c r="I5" s="101"/>
      <c r="J5" s="5"/>
      <c r="K5" s="5"/>
      <c r="L5" s="5"/>
      <c r="M5" s="5"/>
      <c r="N5" s="5"/>
      <c r="O5" s="101"/>
      <c r="P5" s="101"/>
      <c r="Q5" s="5"/>
      <c r="R5" s="5"/>
      <c r="S5" s="5"/>
      <c r="T5" s="5"/>
      <c r="U5" s="5"/>
      <c r="V5" s="101"/>
      <c r="W5" s="101"/>
      <c r="X5" s="5"/>
      <c r="Y5" s="5"/>
      <c r="Z5" s="5"/>
      <c r="AA5" s="5"/>
      <c r="AB5" s="5"/>
      <c r="AC5" s="101"/>
      <c r="AD5" s="101"/>
      <c r="AE5" s="5"/>
      <c r="AF5" s="5"/>
      <c r="AG5" s="5"/>
      <c r="AH5" s="17"/>
      <c r="AI5" s="5"/>
      <c r="AJ5" s="5"/>
    </row>
    <row r="6" spans="1:36" s="2" customFormat="1">
      <c r="A6" s="107" t="s">
        <v>6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9"/>
      <c r="AJ6" s="5"/>
    </row>
    <row r="7" spans="1:36" s="2" customFormat="1" ht="15" customHeight="1">
      <c r="A7" s="88" t="s">
        <v>10</v>
      </c>
      <c r="B7" s="89"/>
      <c r="C7" s="90"/>
      <c r="D7" s="90"/>
      <c r="E7" s="90"/>
      <c r="F7" s="91"/>
      <c r="G7" s="91"/>
      <c r="H7" s="89"/>
      <c r="I7" s="89"/>
      <c r="J7" s="91"/>
      <c r="K7" s="90"/>
      <c r="L7" s="90"/>
      <c r="M7" s="91"/>
      <c r="N7" s="91"/>
      <c r="O7" s="89"/>
      <c r="P7" s="89"/>
      <c r="Q7" s="91"/>
      <c r="R7" s="91"/>
      <c r="S7" s="91"/>
      <c r="T7" s="91"/>
      <c r="U7" s="91"/>
      <c r="V7" s="89"/>
      <c r="W7" s="89"/>
      <c r="X7" s="91"/>
      <c r="Y7" s="90"/>
      <c r="Z7" s="90"/>
      <c r="AA7" s="90"/>
      <c r="AB7" s="90"/>
      <c r="AC7" s="89"/>
      <c r="AD7" s="89"/>
      <c r="AE7" s="91"/>
      <c r="AF7" s="92"/>
      <c r="AG7" s="5"/>
      <c r="AH7" s="88" t="str">
        <f>A7</f>
        <v>Pedreiro</v>
      </c>
      <c r="AI7" s="93">
        <f t="shared" ref="AI7:AI13" si="1">SUM(B7:AF7)</f>
        <v>0</v>
      </c>
      <c r="AJ7" s="5"/>
    </row>
    <row r="8" spans="1:36" s="2" customFormat="1">
      <c r="A8" s="61" t="s">
        <v>9</v>
      </c>
      <c r="B8" s="55"/>
      <c r="C8" s="73"/>
      <c r="D8" s="73"/>
      <c r="E8" s="73"/>
      <c r="F8" s="56"/>
      <c r="G8" s="56"/>
      <c r="H8" s="55"/>
      <c r="I8" s="55"/>
      <c r="J8" s="56"/>
      <c r="K8" s="73"/>
      <c r="L8" s="73"/>
      <c r="M8" s="56"/>
      <c r="N8" s="56"/>
      <c r="O8" s="55"/>
      <c r="P8" s="55"/>
      <c r="Q8" s="56"/>
      <c r="R8" s="56"/>
      <c r="S8" s="56"/>
      <c r="T8" s="56"/>
      <c r="U8" s="56"/>
      <c r="V8" s="55"/>
      <c r="W8" s="55"/>
      <c r="X8" s="56"/>
      <c r="Y8" s="73"/>
      <c r="Z8" s="73"/>
      <c r="AA8" s="73"/>
      <c r="AB8" s="73"/>
      <c r="AC8" s="55"/>
      <c r="AD8" s="55"/>
      <c r="AE8" s="56"/>
      <c r="AF8" s="62"/>
      <c r="AG8" s="5"/>
      <c r="AH8" s="88" t="str">
        <f t="shared" ref="AH8:AH13" si="2">A8</f>
        <v>Meio Oficial</v>
      </c>
      <c r="AI8" s="68">
        <f t="shared" si="1"/>
        <v>0</v>
      </c>
      <c r="AJ8" s="5"/>
    </row>
    <row r="9" spans="1:36" s="2" customFormat="1">
      <c r="A9" s="61" t="s">
        <v>7</v>
      </c>
      <c r="B9" s="55"/>
      <c r="C9" s="73"/>
      <c r="D9" s="73"/>
      <c r="E9" s="73"/>
      <c r="F9" s="56"/>
      <c r="G9" s="56"/>
      <c r="H9" s="55"/>
      <c r="I9" s="55"/>
      <c r="J9" s="56"/>
      <c r="K9" s="73"/>
      <c r="L9" s="73"/>
      <c r="M9" s="56"/>
      <c r="N9" s="56"/>
      <c r="O9" s="55"/>
      <c r="P9" s="55"/>
      <c r="Q9" s="56"/>
      <c r="R9" s="56"/>
      <c r="S9" s="56"/>
      <c r="T9" s="56"/>
      <c r="U9" s="56"/>
      <c r="V9" s="55"/>
      <c r="W9" s="55"/>
      <c r="X9" s="56"/>
      <c r="Y9" s="73"/>
      <c r="Z9" s="73"/>
      <c r="AA9" s="73"/>
      <c r="AB9" s="73"/>
      <c r="AC9" s="55"/>
      <c r="AD9" s="55"/>
      <c r="AE9" s="56"/>
      <c r="AF9" s="62"/>
      <c r="AG9" s="5"/>
      <c r="AH9" s="88" t="str">
        <f t="shared" si="2"/>
        <v>Servente</v>
      </c>
      <c r="AI9" s="68">
        <f t="shared" si="1"/>
        <v>0</v>
      </c>
      <c r="AJ9" s="5"/>
    </row>
    <row r="10" spans="1:36" s="2" customFormat="1">
      <c r="A10" s="61" t="s">
        <v>14</v>
      </c>
      <c r="B10" s="55"/>
      <c r="C10" s="73"/>
      <c r="D10" s="73"/>
      <c r="E10" s="73"/>
      <c r="F10" s="56"/>
      <c r="G10" s="56"/>
      <c r="H10" s="55"/>
      <c r="I10" s="55"/>
      <c r="J10" s="56"/>
      <c r="K10" s="73"/>
      <c r="L10" s="73"/>
      <c r="M10" s="56"/>
      <c r="N10" s="56"/>
      <c r="O10" s="55"/>
      <c r="P10" s="55"/>
      <c r="Q10" s="56"/>
      <c r="R10" s="73"/>
      <c r="S10" s="73"/>
      <c r="T10" s="56"/>
      <c r="U10" s="56"/>
      <c r="V10" s="55"/>
      <c r="W10" s="55"/>
      <c r="X10" s="56"/>
      <c r="Y10" s="73"/>
      <c r="Z10" s="73"/>
      <c r="AA10" s="56"/>
      <c r="AB10" s="56"/>
      <c r="AC10" s="55"/>
      <c r="AD10" s="55"/>
      <c r="AE10" s="56"/>
      <c r="AF10" s="62"/>
      <c r="AG10" s="5"/>
      <c r="AH10" s="88" t="str">
        <f t="shared" si="2"/>
        <v>Encarregado</v>
      </c>
      <c r="AI10" s="68">
        <f t="shared" si="1"/>
        <v>0</v>
      </c>
      <c r="AJ10" s="5"/>
    </row>
    <row r="11" spans="1:36" s="2" customFormat="1">
      <c r="A11" s="61" t="s">
        <v>20</v>
      </c>
      <c r="B11" s="55"/>
      <c r="C11" s="73"/>
      <c r="D11" s="73"/>
      <c r="E11" s="73"/>
      <c r="F11" s="56"/>
      <c r="G11" s="56"/>
      <c r="H11" s="55"/>
      <c r="I11" s="55"/>
      <c r="J11" s="56"/>
      <c r="K11" s="73"/>
      <c r="L11" s="73"/>
      <c r="M11" s="56"/>
      <c r="N11" s="56"/>
      <c r="O11" s="55"/>
      <c r="P11" s="55"/>
      <c r="Q11" s="56"/>
      <c r="R11" s="73"/>
      <c r="S11" s="73"/>
      <c r="T11" s="56"/>
      <c r="U11" s="56"/>
      <c r="V11" s="55"/>
      <c r="W11" s="55"/>
      <c r="X11" s="56"/>
      <c r="Y11" s="73"/>
      <c r="Z11" s="73"/>
      <c r="AA11" s="56"/>
      <c r="AB11" s="56"/>
      <c r="AC11" s="55"/>
      <c r="AD11" s="55"/>
      <c r="AE11" s="56"/>
      <c r="AF11" s="62"/>
      <c r="AG11" s="5"/>
      <c r="AH11" s="88" t="str">
        <f t="shared" si="2"/>
        <v>Armador</v>
      </c>
      <c r="AI11" s="68">
        <f t="shared" si="1"/>
        <v>0</v>
      </c>
      <c r="AJ11" s="5"/>
    </row>
    <row r="12" spans="1:36" s="2" customFormat="1">
      <c r="A12" s="61" t="s">
        <v>13</v>
      </c>
      <c r="B12" s="55"/>
      <c r="C12" s="73"/>
      <c r="D12" s="73"/>
      <c r="E12" s="73"/>
      <c r="F12" s="56"/>
      <c r="G12" s="56"/>
      <c r="H12" s="55"/>
      <c r="I12" s="55"/>
      <c r="J12" s="56"/>
      <c r="K12" s="73"/>
      <c r="L12" s="73"/>
      <c r="M12" s="56"/>
      <c r="N12" s="56"/>
      <c r="O12" s="55"/>
      <c r="P12" s="55"/>
      <c r="Q12" s="56"/>
      <c r="R12" s="73"/>
      <c r="S12" s="73"/>
      <c r="T12" s="56"/>
      <c r="U12" s="56"/>
      <c r="V12" s="55"/>
      <c r="W12" s="55"/>
      <c r="X12" s="56"/>
      <c r="Y12" s="73"/>
      <c r="Z12" s="73"/>
      <c r="AA12" s="56"/>
      <c r="AB12" s="56"/>
      <c r="AC12" s="55"/>
      <c r="AD12" s="55"/>
      <c r="AE12" s="56"/>
      <c r="AF12" s="62"/>
      <c r="AG12" s="5"/>
      <c r="AH12" s="88" t="str">
        <f t="shared" si="2"/>
        <v>Operador de Argamassadeira</v>
      </c>
      <c r="AI12" s="68">
        <f t="shared" si="1"/>
        <v>0</v>
      </c>
      <c r="AJ12" s="5"/>
    </row>
    <row r="13" spans="1:36" s="2" customFormat="1">
      <c r="A13" s="63" t="s">
        <v>33</v>
      </c>
      <c r="B13" s="64"/>
      <c r="C13" s="74"/>
      <c r="D13" s="74"/>
      <c r="E13" s="74"/>
      <c r="F13" s="74"/>
      <c r="G13" s="74"/>
      <c r="H13" s="64"/>
      <c r="I13" s="64"/>
      <c r="J13" s="74"/>
      <c r="K13" s="74"/>
      <c r="L13" s="74"/>
      <c r="M13" s="74"/>
      <c r="N13" s="74"/>
      <c r="O13" s="64"/>
      <c r="P13" s="64"/>
      <c r="Q13" s="74"/>
      <c r="R13" s="74"/>
      <c r="S13" s="74"/>
      <c r="T13" s="74"/>
      <c r="U13" s="74"/>
      <c r="V13" s="64"/>
      <c r="W13" s="64"/>
      <c r="X13" s="65"/>
      <c r="Y13" s="74"/>
      <c r="Z13" s="74"/>
      <c r="AA13" s="74"/>
      <c r="AB13" s="65"/>
      <c r="AC13" s="64"/>
      <c r="AD13" s="64"/>
      <c r="AE13" s="65"/>
      <c r="AF13" s="66"/>
      <c r="AG13" s="5"/>
      <c r="AH13" s="88" t="str">
        <f t="shared" si="2"/>
        <v>Betoneiro</v>
      </c>
      <c r="AI13" s="69">
        <f t="shared" si="1"/>
        <v>0</v>
      </c>
      <c r="AJ13" s="5"/>
    </row>
    <row r="14" spans="1:36">
      <c r="B14" s="103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5"/>
    </row>
    <row r="15" spans="1:36" s="2" customFormat="1">
      <c r="A15" s="110" t="s">
        <v>823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08"/>
      <c r="AH15" s="108"/>
      <c r="AI15" s="109"/>
      <c r="AJ15" s="5"/>
    </row>
    <row r="16" spans="1:36" s="2" customFormat="1">
      <c r="A16" s="20" t="s">
        <v>10</v>
      </c>
      <c r="B16" s="19"/>
      <c r="C16" s="70"/>
      <c r="D16" s="70"/>
      <c r="E16" s="70"/>
      <c r="F16" s="42"/>
      <c r="G16" s="42"/>
      <c r="H16" s="19"/>
      <c r="I16" s="19"/>
      <c r="J16" s="42"/>
      <c r="K16" s="70"/>
      <c r="L16" s="70"/>
      <c r="M16" s="42"/>
      <c r="N16" s="42"/>
      <c r="O16" s="19"/>
      <c r="P16" s="19"/>
      <c r="Q16" s="91"/>
      <c r="R16" s="91"/>
      <c r="S16" s="91"/>
      <c r="T16" s="42"/>
      <c r="U16" s="42"/>
      <c r="V16" s="19"/>
      <c r="W16" s="19"/>
      <c r="X16" s="42"/>
      <c r="Y16" s="90"/>
      <c r="Z16" s="70"/>
      <c r="AA16" s="42"/>
      <c r="AB16" s="42"/>
      <c r="AC16" s="19"/>
      <c r="AD16" s="19"/>
      <c r="AE16" s="42"/>
      <c r="AF16" s="45"/>
      <c r="AG16" s="5"/>
      <c r="AH16" s="88" t="str">
        <f>A16</f>
        <v>Pedreiro</v>
      </c>
      <c r="AI16" s="94">
        <f>SUM(B16:AF16)</f>
        <v>0</v>
      </c>
      <c r="AJ16" s="5"/>
    </row>
    <row r="17" spans="1:36" s="2" customFormat="1">
      <c r="A17" s="21" t="s">
        <v>9</v>
      </c>
      <c r="B17" s="10"/>
      <c r="C17" s="71"/>
      <c r="D17" s="71"/>
      <c r="E17" s="71"/>
      <c r="F17" s="43"/>
      <c r="G17" s="43"/>
      <c r="H17" s="10"/>
      <c r="I17" s="10"/>
      <c r="J17" s="43"/>
      <c r="K17" s="71"/>
      <c r="L17" s="71"/>
      <c r="M17" s="43"/>
      <c r="N17" s="43"/>
      <c r="O17" s="10"/>
      <c r="P17" s="10"/>
      <c r="Q17" s="56"/>
      <c r="R17" s="56"/>
      <c r="S17" s="56"/>
      <c r="T17" s="43"/>
      <c r="U17" s="43"/>
      <c r="V17" s="10"/>
      <c r="W17" s="10"/>
      <c r="X17" s="43"/>
      <c r="Y17" s="73"/>
      <c r="Z17" s="71"/>
      <c r="AA17" s="43"/>
      <c r="AB17" s="43"/>
      <c r="AC17" s="10"/>
      <c r="AD17" s="10"/>
      <c r="AE17" s="43"/>
      <c r="AF17" s="46"/>
      <c r="AG17" s="5"/>
      <c r="AH17" s="88" t="str">
        <f t="shared" ref="AH17:AH20" si="3">A17</f>
        <v>Meio Oficial</v>
      </c>
      <c r="AI17" s="85">
        <f>SUM(B17:AF17)</f>
        <v>0</v>
      </c>
      <c r="AJ17" s="5"/>
    </row>
    <row r="18" spans="1:36" s="2" customFormat="1">
      <c r="A18" s="21" t="s">
        <v>7</v>
      </c>
      <c r="B18" s="10"/>
      <c r="C18" s="71"/>
      <c r="D18" s="71"/>
      <c r="E18" s="71"/>
      <c r="F18" s="43"/>
      <c r="G18" s="43"/>
      <c r="H18" s="10"/>
      <c r="I18" s="10"/>
      <c r="J18" s="43"/>
      <c r="K18" s="71"/>
      <c r="L18" s="71"/>
      <c r="M18" s="43"/>
      <c r="N18" s="43"/>
      <c r="O18" s="10"/>
      <c r="P18" s="10"/>
      <c r="Q18" s="56"/>
      <c r="R18" s="56"/>
      <c r="S18" s="56"/>
      <c r="T18" s="43"/>
      <c r="U18" s="43"/>
      <c r="V18" s="10"/>
      <c r="W18" s="10"/>
      <c r="X18" s="43"/>
      <c r="Y18" s="73"/>
      <c r="Z18" s="71"/>
      <c r="AA18" s="43"/>
      <c r="AB18" s="43"/>
      <c r="AC18" s="10"/>
      <c r="AD18" s="10"/>
      <c r="AE18" s="43"/>
      <c r="AF18" s="46"/>
      <c r="AG18" s="5"/>
      <c r="AH18" s="88" t="str">
        <f t="shared" si="3"/>
        <v>Servente</v>
      </c>
      <c r="AI18" s="85">
        <f>SUM(B18:AF18)</f>
        <v>0</v>
      </c>
      <c r="AJ18" s="5"/>
    </row>
    <row r="19" spans="1:36" s="2" customFormat="1">
      <c r="A19" s="21" t="s">
        <v>14</v>
      </c>
      <c r="B19" s="10"/>
      <c r="C19" s="71"/>
      <c r="D19" s="71"/>
      <c r="E19" s="71"/>
      <c r="F19" s="43"/>
      <c r="G19" s="43"/>
      <c r="H19" s="10"/>
      <c r="I19" s="10"/>
      <c r="J19" s="43"/>
      <c r="K19" s="71"/>
      <c r="L19" s="71"/>
      <c r="M19" s="43"/>
      <c r="N19" s="43"/>
      <c r="O19" s="10"/>
      <c r="P19" s="10"/>
      <c r="Q19" s="43"/>
      <c r="R19" s="71"/>
      <c r="S19" s="71"/>
      <c r="T19" s="43"/>
      <c r="U19" s="43"/>
      <c r="V19" s="10"/>
      <c r="W19" s="10"/>
      <c r="X19" s="43"/>
      <c r="Y19" s="71"/>
      <c r="Z19" s="71"/>
      <c r="AA19" s="43"/>
      <c r="AB19" s="43"/>
      <c r="AC19" s="10"/>
      <c r="AD19" s="10"/>
      <c r="AE19" s="43"/>
      <c r="AF19" s="46"/>
      <c r="AG19" s="5"/>
      <c r="AH19" s="88" t="str">
        <f t="shared" si="3"/>
        <v>Encarregado</v>
      </c>
      <c r="AI19" s="85">
        <f>SUM(B19:AF19)</f>
        <v>0</v>
      </c>
      <c r="AJ19" s="5"/>
    </row>
    <row r="20" spans="1:36" s="2" customFormat="1">
      <c r="A20" s="11" t="s">
        <v>20</v>
      </c>
      <c r="B20" s="15"/>
      <c r="C20" s="9"/>
      <c r="D20" s="9"/>
      <c r="E20" s="9"/>
      <c r="F20" s="44"/>
      <c r="G20" s="44"/>
      <c r="H20" s="15"/>
      <c r="I20" s="15"/>
      <c r="J20" s="44"/>
      <c r="K20" s="9"/>
      <c r="L20" s="9"/>
      <c r="M20" s="44"/>
      <c r="N20" s="44"/>
      <c r="O20" s="15"/>
      <c r="P20" s="15"/>
      <c r="Q20" s="44"/>
      <c r="R20" s="9"/>
      <c r="S20" s="9"/>
      <c r="T20" s="44"/>
      <c r="U20" s="44"/>
      <c r="V20" s="15"/>
      <c r="W20" s="15"/>
      <c r="X20" s="44"/>
      <c r="Y20" s="9"/>
      <c r="Z20" s="9"/>
      <c r="AA20" s="44"/>
      <c r="AB20" s="44"/>
      <c r="AC20" s="15"/>
      <c r="AD20" s="15"/>
      <c r="AE20" s="44"/>
      <c r="AF20" s="47"/>
      <c r="AG20" s="5"/>
      <c r="AH20" s="88" t="str">
        <f t="shared" si="3"/>
        <v>Armador</v>
      </c>
      <c r="AI20" s="18">
        <f>SUM(B20:AF20)</f>
        <v>0</v>
      </c>
      <c r="AJ20" s="5"/>
    </row>
    <row r="21" spans="1:36">
      <c r="B21" s="103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5"/>
    </row>
    <row r="22" spans="1:36" s="2" customFormat="1">
      <c r="A22" s="107" t="s">
        <v>17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9"/>
      <c r="AJ22" s="5"/>
    </row>
    <row r="23" spans="1:36" s="2" customFormat="1">
      <c r="A23" s="88" t="s">
        <v>10</v>
      </c>
      <c r="B23" s="89"/>
      <c r="C23" s="90"/>
      <c r="D23" s="90"/>
      <c r="E23" s="90"/>
      <c r="F23" s="91"/>
      <c r="G23" s="91"/>
      <c r="H23" s="89"/>
      <c r="I23" s="89"/>
      <c r="J23" s="91"/>
      <c r="K23" s="90"/>
      <c r="L23" s="90"/>
      <c r="M23" s="91"/>
      <c r="N23" s="91"/>
      <c r="O23" s="89"/>
      <c r="P23" s="89"/>
      <c r="Q23" s="91"/>
      <c r="R23" s="91"/>
      <c r="S23" s="91"/>
      <c r="T23" s="91"/>
      <c r="U23" s="91"/>
      <c r="V23" s="89"/>
      <c r="W23" s="89"/>
      <c r="X23" s="91"/>
      <c r="Y23" s="90"/>
      <c r="Z23" s="90"/>
      <c r="AA23" s="90"/>
      <c r="AB23" s="90"/>
      <c r="AC23" s="89"/>
      <c r="AD23" s="89"/>
      <c r="AE23" s="91"/>
      <c r="AF23" s="92"/>
      <c r="AG23" s="5"/>
      <c r="AH23" s="88" t="str">
        <f>A23</f>
        <v>Pedreiro</v>
      </c>
      <c r="AI23" s="93">
        <f>SUM(B23:AF23)</f>
        <v>0</v>
      </c>
      <c r="AJ23" s="5"/>
    </row>
    <row r="24" spans="1:36" s="2" customFormat="1">
      <c r="A24" s="61" t="s">
        <v>18</v>
      </c>
      <c r="B24" s="55"/>
      <c r="C24" s="73"/>
      <c r="D24" s="73"/>
      <c r="E24" s="73"/>
      <c r="F24" s="56"/>
      <c r="G24" s="56"/>
      <c r="H24" s="55"/>
      <c r="I24" s="55"/>
      <c r="J24" s="56"/>
      <c r="K24" s="73"/>
      <c r="L24" s="73"/>
      <c r="M24" s="56"/>
      <c r="N24" s="56"/>
      <c r="O24" s="55"/>
      <c r="P24" s="55"/>
      <c r="Q24" s="56"/>
      <c r="R24" s="56"/>
      <c r="S24" s="56"/>
      <c r="T24" s="56"/>
      <c r="U24" s="56"/>
      <c r="V24" s="55"/>
      <c r="W24" s="55"/>
      <c r="X24" s="56"/>
      <c r="Y24" s="73"/>
      <c r="Z24" s="73"/>
      <c r="AA24" s="73"/>
      <c r="AB24" s="73"/>
      <c r="AC24" s="55"/>
      <c r="AD24" s="55"/>
      <c r="AE24" s="56"/>
      <c r="AF24" s="62"/>
      <c r="AG24" s="5"/>
      <c r="AH24" s="88" t="str">
        <f t="shared" ref="AH24:AH27" si="4">A24</f>
        <v>Meio-Oficial</v>
      </c>
      <c r="AI24" s="68">
        <f>SUM(B24:AF24)</f>
        <v>0</v>
      </c>
      <c r="AJ24" s="5"/>
    </row>
    <row r="25" spans="1:36" s="2" customFormat="1">
      <c r="A25" s="61" t="s">
        <v>7</v>
      </c>
      <c r="B25" s="55"/>
      <c r="C25" s="73"/>
      <c r="D25" s="73"/>
      <c r="E25" s="73"/>
      <c r="F25" s="56"/>
      <c r="G25" s="56"/>
      <c r="H25" s="55"/>
      <c r="I25" s="55"/>
      <c r="J25" s="56"/>
      <c r="K25" s="73"/>
      <c r="L25" s="73"/>
      <c r="M25" s="56"/>
      <c r="N25" s="56"/>
      <c r="O25" s="55"/>
      <c r="P25" s="55"/>
      <c r="Q25" s="56"/>
      <c r="R25" s="56"/>
      <c r="S25" s="56"/>
      <c r="T25" s="56"/>
      <c r="U25" s="56"/>
      <c r="V25" s="55"/>
      <c r="W25" s="55"/>
      <c r="X25" s="56"/>
      <c r="Y25" s="73"/>
      <c r="Z25" s="73"/>
      <c r="AA25" s="73"/>
      <c r="AB25" s="73"/>
      <c r="AC25" s="55"/>
      <c r="AD25" s="55"/>
      <c r="AE25" s="56"/>
      <c r="AF25" s="62"/>
      <c r="AG25" s="5"/>
      <c r="AH25" s="88" t="str">
        <f t="shared" si="4"/>
        <v>Servente</v>
      </c>
      <c r="AI25" s="68">
        <f>SUM(B25:AF25)</f>
        <v>0</v>
      </c>
      <c r="AJ25" s="5"/>
    </row>
    <row r="26" spans="1:36" s="2" customFormat="1">
      <c r="A26" s="61" t="s">
        <v>19</v>
      </c>
      <c r="B26" s="55"/>
      <c r="C26" s="73"/>
      <c r="D26" s="73"/>
      <c r="E26" s="73"/>
      <c r="F26" s="56"/>
      <c r="G26" s="56"/>
      <c r="H26" s="55"/>
      <c r="I26" s="55"/>
      <c r="J26" s="56"/>
      <c r="K26" s="73"/>
      <c r="L26" s="73"/>
      <c r="M26" s="56"/>
      <c r="N26" s="56"/>
      <c r="O26" s="55"/>
      <c r="P26" s="55"/>
      <c r="Q26" s="56"/>
      <c r="R26" s="73"/>
      <c r="S26" s="73"/>
      <c r="T26" s="56"/>
      <c r="U26" s="56"/>
      <c r="V26" s="55"/>
      <c r="W26" s="55"/>
      <c r="X26" s="56"/>
      <c r="Y26" s="73"/>
      <c r="Z26" s="73"/>
      <c r="AA26" s="56"/>
      <c r="AB26" s="56"/>
      <c r="AC26" s="55"/>
      <c r="AD26" s="55"/>
      <c r="AE26" s="56"/>
      <c r="AF26" s="62"/>
      <c r="AG26" s="5"/>
      <c r="AH26" s="88" t="str">
        <f t="shared" si="4"/>
        <v>Carpinteiro</v>
      </c>
      <c r="AI26" s="68">
        <f>SUM(B26:AF26)</f>
        <v>0</v>
      </c>
      <c r="AJ26" s="5"/>
    </row>
    <row r="27" spans="1:36" s="2" customFormat="1">
      <c r="A27" s="63" t="s">
        <v>20</v>
      </c>
      <c r="B27" s="64"/>
      <c r="C27" s="74"/>
      <c r="D27" s="74"/>
      <c r="E27" s="74"/>
      <c r="F27" s="65"/>
      <c r="G27" s="65"/>
      <c r="H27" s="64"/>
      <c r="I27" s="64"/>
      <c r="J27" s="65"/>
      <c r="K27" s="74"/>
      <c r="L27" s="74"/>
      <c r="M27" s="65"/>
      <c r="N27" s="65"/>
      <c r="O27" s="64"/>
      <c r="P27" s="64"/>
      <c r="Q27" s="74"/>
      <c r="R27" s="74"/>
      <c r="S27" s="74"/>
      <c r="T27" s="74"/>
      <c r="U27" s="74"/>
      <c r="V27" s="64"/>
      <c r="W27" s="64"/>
      <c r="X27" s="65"/>
      <c r="Y27" s="74"/>
      <c r="Z27" s="74"/>
      <c r="AA27" s="65"/>
      <c r="AB27" s="65"/>
      <c r="AC27" s="64"/>
      <c r="AD27" s="64"/>
      <c r="AE27" s="65"/>
      <c r="AF27" s="66"/>
      <c r="AG27" s="5"/>
      <c r="AH27" s="88" t="str">
        <f t="shared" si="4"/>
        <v>Armador</v>
      </c>
      <c r="AI27" s="69">
        <f>SUM(B27:AF27)</f>
        <v>0</v>
      </c>
      <c r="AJ27" s="5"/>
    </row>
    <row r="28" spans="1:36">
      <c r="B28" s="103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5"/>
    </row>
    <row r="29" spans="1:36" s="2" customFormat="1">
      <c r="A29" s="107" t="s">
        <v>21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11"/>
      <c r="AI29" s="112"/>
      <c r="AJ29" s="5"/>
    </row>
    <row r="30" spans="1:36" s="2" customFormat="1" ht="15" customHeight="1">
      <c r="A30" s="88" t="s">
        <v>10</v>
      </c>
      <c r="B30" s="89"/>
      <c r="C30" s="90"/>
      <c r="D30" s="90"/>
      <c r="E30" s="90"/>
      <c r="F30" s="90"/>
      <c r="G30" s="90"/>
      <c r="H30" s="89"/>
      <c r="I30" s="89"/>
      <c r="J30" s="90"/>
      <c r="K30" s="90"/>
      <c r="L30" s="90"/>
      <c r="M30" s="90"/>
      <c r="N30" s="90"/>
      <c r="O30" s="89"/>
      <c r="P30" s="89"/>
      <c r="Q30" s="90"/>
      <c r="R30" s="90"/>
      <c r="S30" s="90"/>
      <c r="T30" s="90"/>
      <c r="U30" s="90"/>
      <c r="V30" s="89"/>
      <c r="W30" s="89"/>
      <c r="X30" s="90"/>
      <c r="Y30" s="90"/>
      <c r="Z30" s="90"/>
      <c r="AA30" s="90"/>
      <c r="AB30" s="90"/>
      <c r="AC30" s="89"/>
      <c r="AD30" s="89"/>
      <c r="AE30" s="90"/>
      <c r="AF30" s="90"/>
      <c r="AG30" s="5"/>
      <c r="AH30" s="57" t="str">
        <f>A30</f>
        <v>Pedreiro</v>
      </c>
      <c r="AI30" s="67">
        <f>SUM(B30:AF30)</f>
        <v>0</v>
      </c>
      <c r="AJ30" s="5"/>
    </row>
    <row r="31" spans="1:36" s="2" customFormat="1">
      <c r="A31" s="61" t="s">
        <v>9</v>
      </c>
      <c r="B31" s="55"/>
      <c r="C31" s="73"/>
      <c r="D31" s="73"/>
      <c r="E31" s="73"/>
      <c r="F31" s="73"/>
      <c r="G31" s="73"/>
      <c r="H31" s="55"/>
      <c r="I31" s="55"/>
      <c r="J31" s="73"/>
      <c r="K31" s="73"/>
      <c r="L31" s="73"/>
      <c r="M31" s="73"/>
      <c r="N31" s="73"/>
      <c r="O31" s="55"/>
      <c r="P31" s="55"/>
      <c r="Q31" s="73"/>
      <c r="R31" s="73"/>
      <c r="S31" s="73"/>
      <c r="T31" s="73"/>
      <c r="U31" s="73"/>
      <c r="V31" s="55"/>
      <c r="W31" s="55"/>
      <c r="X31" s="73"/>
      <c r="Y31" s="73"/>
      <c r="Z31" s="73"/>
      <c r="AA31" s="73"/>
      <c r="AB31" s="73"/>
      <c r="AC31" s="55"/>
      <c r="AD31" s="55"/>
      <c r="AE31" s="73"/>
      <c r="AF31" s="73"/>
      <c r="AG31" s="5"/>
      <c r="AH31" s="57" t="str">
        <f t="shared" ref="AH31:AH33" si="5">A31</f>
        <v>Meio Oficial</v>
      </c>
      <c r="AI31" s="68">
        <f>SUM(B31:AF31)</f>
        <v>0</v>
      </c>
      <c r="AJ31" s="5"/>
    </row>
    <row r="32" spans="1:36" s="2" customFormat="1" ht="15" customHeight="1">
      <c r="A32" s="61" t="s">
        <v>7</v>
      </c>
      <c r="B32" s="55"/>
      <c r="C32" s="73"/>
      <c r="D32" s="73"/>
      <c r="E32" s="73"/>
      <c r="F32" s="73"/>
      <c r="G32" s="73"/>
      <c r="H32" s="55"/>
      <c r="I32" s="55"/>
      <c r="J32" s="73"/>
      <c r="K32" s="73"/>
      <c r="L32" s="73"/>
      <c r="M32" s="73"/>
      <c r="N32" s="73"/>
      <c r="O32" s="55"/>
      <c r="P32" s="55"/>
      <c r="Q32" s="73"/>
      <c r="R32" s="73"/>
      <c r="S32" s="73"/>
      <c r="T32" s="73"/>
      <c r="U32" s="73"/>
      <c r="V32" s="55"/>
      <c r="W32" s="55"/>
      <c r="X32" s="73"/>
      <c r="Y32" s="73"/>
      <c r="Z32" s="73"/>
      <c r="AA32" s="73"/>
      <c r="AB32" s="73"/>
      <c r="AC32" s="55"/>
      <c r="AD32" s="55"/>
      <c r="AE32" s="73"/>
      <c r="AF32" s="73"/>
      <c r="AG32" s="5"/>
      <c r="AH32" s="57" t="str">
        <f t="shared" si="5"/>
        <v>Servente</v>
      </c>
      <c r="AI32" s="68">
        <f>SUM(B32:AF32)</f>
        <v>0</v>
      </c>
      <c r="AJ32" s="5"/>
    </row>
    <row r="33" spans="1:36" s="2" customFormat="1" ht="15" customHeight="1">
      <c r="A33" s="63" t="s">
        <v>14</v>
      </c>
      <c r="B33" s="64"/>
      <c r="C33" s="74"/>
      <c r="D33" s="74"/>
      <c r="E33" s="74"/>
      <c r="F33" s="74"/>
      <c r="G33" s="74"/>
      <c r="H33" s="64"/>
      <c r="I33" s="64"/>
      <c r="J33" s="74"/>
      <c r="K33" s="74"/>
      <c r="L33" s="74"/>
      <c r="M33" s="74"/>
      <c r="N33" s="74"/>
      <c r="O33" s="64"/>
      <c r="P33" s="64"/>
      <c r="Q33" s="74"/>
      <c r="R33" s="74"/>
      <c r="S33" s="74"/>
      <c r="T33" s="74"/>
      <c r="U33" s="74"/>
      <c r="V33" s="64"/>
      <c r="W33" s="64"/>
      <c r="X33" s="74"/>
      <c r="Y33" s="74"/>
      <c r="Z33" s="74"/>
      <c r="AA33" s="74"/>
      <c r="AB33" s="74"/>
      <c r="AC33" s="64"/>
      <c r="AD33" s="64"/>
      <c r="AE33" s="74"/>
      <c r="AF33" s="74"/>
      <c r="AG33" s="5"/>
      <c r="AH33" s="57" t="str">
        <f t="shared" si="5"/>
        <v>Encarregado</v>
      </c>
      <c r="AI33" s="69">
        <f>SUM(B33:AF33)</f>
        <v>0</v>
      </c>
      <c r="AJ33" s="5"/>
    </row>
    <row r="34" spans="1:36">
      <c r="B34" s="103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5"/>
    </row>
    <row r="35" spans="1:36" s="2" customFormat="1">
      <c r="A35" s="110" t="s">
        <v>824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08"/>
      <c r="AH35" s="111"/>
      <c r="AI35" s="112"/>
      <c r="AJ35" s="5"/>
    </row>
    <row r="36" spans="1:36" s="2" customFormat="1" ht="15" customHeight="1">
      <c r="A36" s="57" t="s">
        <v>19</v>
      </c>
      <c r="B36" s="58"/>
      <c r="C36" s="72"/>
      <c r="D36" s="72"/>
      <c r="E36" s="72"/>
      <c r="F36" s="59"/>
      <c r="G36" s="59"/>
      <c r="H36" s="58"/>
      <c r="I36" s="58"/>
      <c r="J36" s="59"/>
      <c r="K36" s="72"/>
      <c r="L36" s="72"/>
      <c r="M36" s="59"/>
      <c r="N36" s="59"/>
      <c r="O36" s="58"/>
      <c r="P36" s="58"/>
      <c r="Q36" s="91"/>
      <c r="R36" s="91"/>
      <c r="S36" s="91"/>
      <c r="T36" s="59"/>
      <c r="U36" s="59"/>
      <c r="V36" s="58"/>
      <c r="W36" s="58"/>
      <c r="X36" s="59"/>
      <c r="Y36" s="72"/>
      <c r="Z36" s="72"/>
      <c r="AA36" s="59"/>
      <c r="AB36" s="59"/>
      <c r="AC36" s="58"/>
      <c r="AD36" s="58"/>
      <c r="AE36" s="59"/>
      <c r="AF36" s="60"/>
      <c r="AG36" s="5"/>
      <c r="AH36" s="75" t="str">
        <f>A36</f>
        <v>Carpinteiro</v>
      </c>
      <c r="AI36" s="67">
        <f>SUM(B36:AF36)</f>
        <v>0</v>
      </c>
      <c r="AJ36" s="5"/>
    </row>
    <row r="37" spans="1:36" s="2" customFormat="1">
      <c r="A37" s="63" t="s">
        <v>7</v>
      </c>
      <c r="B37" s="64"/>
      <c r="C37" s="74"/>
      <c r="D37" s="74"/>
      <c r="E37" s="74"/>
      <c r="F37" s="65"/>
      <c r="G37" s="65"/>
      <c r="H37" s="64"/>
      <c r="I37" s="64"/>
      <c r="J37" s="65"/>
      <c r="K37" s="74"/>
      <c r="L37" s="74"/>
      <c r="M37" s="65"/>
      <c r="N37" s="65"/>
      <c r="O37" s="64"/>
      <c r="P37" s="64"/>
      <c r="Q37" s="65"/>
      <c r="R37" s="74"/>
      <c r="S37" s="74"/>
      <c r="T37" s="65"/>
      <c r="U37" s="65"/>
      <c r="V37" s="64"/>
      <c r="W37" s="64"/>
      <c r="X37" s="65"/>
      <c r="Y37" s="74"/>
      <c r="Z37" s="74"/>
      <c r="AA37" s="65"/>
      <c r="AB37" s="65"/>
      <c r="AC37" s="64"/>
      <c r="AD37" s="64"/>
      <c r="AE37" s="65"/>
      <c r="AF37" s="66"/>
      <c r="AG37" s="5"/>
      <c r="AH37" s="76" t="str">
        <f>A37</f>
        <v>Servente</v>
      </c>
      <c r="AI37" s="69">
        <f>SUM(B37:AF37)</f>
        <v>0</v>
      </c>
      <c r="AJ37" s="5"/>
    </row>
    <row r="39" spans="1:36" s="2" customFormat="1">
      <c r="A39" s="107" t="s">
        <v>825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9"/>
      <c r="AJ39" s="5"/>
    </row>
    <row r="40" spans="1:36" s="2" customFormat="1" ht="15.75" thickBot="1">
      <c r="A40" s="86" t="s">
        <v>826</v>
      </c>
      <c r="B40" s="15"/>
      <c r="C40" s="9"/>
      <c r="D40" s="9"/>
      <c r="E40" s="9"/>
      <c r="F40" s="44"/>
      <c r="G40" s="44"/>
      <c r="H40" s="15"/>
      <c r="I40" s="15"/>
      <c r="J40" s="44"/>
      <c r="K40" s="9"/>
      <c r="L40" s="9"/>
      <c r="M40" s="44"/>
      <c r="N40" s="44"/>
      <c r="O40" s="15"/>
      <c r="P40" s="15"/>
      <c r="Q40" s="91"/>
      <c r="R40" s="91"/>
      <c r="S40" s="91"/>
      <c r="T40" s="44"/>
      <c r="U40" s="44"/>
      <c r="V40" s="15"/>
      <c r="W40" s="15"/>
      <c r="X40" s="44"/>
      <c r="Y40" s="9"/>
      <c r="Z40" s="9"/>
      <c r="AA40" s="44"/>
      <c r="AB40" s="44"/>
      <c r="AC40" s="15"/>
      <c r="AD40" s="15"/>
      <c r="AE40" s="44"/>
      <c r="AF40" s="47"/>
      <c r="AG40" s="5"/>
      <c r="AH40" s="14" t="str">
        <f>A40</f>
        <v>Poceiro</v>
      </c>
      <c r="AI40" s="87">
        <f>SUM(B40:AF40)</f>
        <v>0</v>
      </c>
      <c r="AJ40" s="5"/>
    </row>
    <row r="41" spans="1:36" ht="15.75" thickBot="1">
      <c r="A41" s="86" t="s">
        <v>827</v>
      </c>
      <c r="B41" s="15"/>
      <c r="C41" s="9"/>
      <c r="D41" s="9"/>
      <c r="E41" s="9"/>
      <c r="F41" s="44"/>
      <c r="G41" s="44"/>
      <c r="H41" s="15"/>
      <c r="I41" s="15"/>
      <c r="J41" s="44"/>
      <c r="K41" s="9"/>
      <c r="L41" s="9"/>
      <c r="M41" s="44"/>
      <c r="N41" s="44"/>
      <c r="O41" s="15"/>
      <c r="P41" s="15"/>
      <c r="Q41" s="91"/>
      <c r="R41" s="91"/>
      <c r="S41" s="91"/>
      <c r="T41" s="44"/>
      <c r="U41" s="44"/>
      <c r="V41" s="15"/>
      <c r="W41" s="15"/>
      <c r="X41" s="44"/>
      <c r="Y41" s="9"/>
      <c r="Z41" s="9"/>
      <c r="AA41" s="44"/>
      <c r="AB41" s="44"/>
      <c r="AC41" s="15"/>
      <c r="AD41" s="15"/>
      <c r="AE41" s="44"/>
      <c r="AF41" s="47"/>
      <c r="AG41" s="5"/>
      <c r="AH41" s="14"/>
      <c r="AI41" s="87"/>
    </row>
    <row r="42" spans="1:36" ht="15.75" thickBot="1">
      <c r="A42" s="86"/>
      <c r="B42" s="15"/>
      <c r="C42" s="9"/>
      <c r="D42" s="9"/>
      <c r="E42" s="9"/>
      <c r="F42" s="44"/>
      <c r="G42" s="44"/>
      <c r="H42" s="15"/>
      <c r="I42" s="15"/>
      <c r="J42" s="44"/>
      <c r="K42" s="9"/>
      <c r="L42" s="9"/>
      <c r="M42" s="44"/>
      <c r="N42" s="44"/>
      <c r="O42" s="15"/>
      <c r="P42" s="15"/>
      <c r="Q42" s="91"/>
      <c r="R42" s="91"/>
      <c r="S42" s="91"/>
      <c r="T42" s="44"/>
      <c r="U42" s="44"/>
      <c r="V42" s="15"/>
      <c r="W42" s="15"/>
      <c r="X42" s="44"/>
      <c r="Y42" s="9"/>
      <c r="Z42" s="9"/>
      <c r="AA42" s="44"/>
      <c r="AB42" s="44"/>
      <c r="AC42" s="15"/>
      <c r="AD42" s="15"/>
      <c r="AE42" s="44"/>
      <c r="AF42" s="47"/>
      <c r="AG42" s="5"/>
      <c r="AH42" s="14"/>
      <c r="AI42" s="87"/>
    </row>
    <row r="43" spans="1:36" ht="15.75" thickBot="1">
      <c r="A43" s="86"/>
      <c r="B43" s="15"/>
      <c r="C43" s="9"/>
      <c r="D43" s="9"/>
      <c r="E43" s="9"/>
      <c r="F43" s="44"/>
      <c r="G43" s="44"/>
      <c r="H43" s="15"/>
      <c r="I43" s="15"/>
      <c r="J43" s="44"/>
      <c r="K43" s="9"/>
      <c r="L43" s="9"/>
      <c r="M43" s="44"/>
      <c r="N43" s="44"/>
      <c r="O43" s="15"/>
      <c r="P43" s="15"/>
      <c r="Q43" s="91"/>
      <c r="R43" s="91"/>
      <c r="S43" s="91"/>
      <c r="T43" s="44"/>
      <c r="U43" s="44"/>
      <c r="V43" s="15"/>
      <c r="W43" s="15"/>
      <c r="X43" s="44"/>
      <c r="Y43" s="9"/>
      <c r="Z43" s="9"/>
      <c r="AA43" s="44"/>
      <c r="AB43" s="44"/>
      <c r="AC43" s="15"/>
      <c r="AD43" s="15"/>
      <c r="AE43" s="44"/>
      <c r="AF43" s="47"/>
      <c r="AG43" s="5"/>
      <c r="AH43" s="14">
        <f>A43</f>
        <v>0</v>
      </c>
      <c r="AI43" s="87">
        <f>SUM(B43:AF43)</f>
        <v>0</v>
      </c>
    </row>
    <row r="44" spans="1:36" ht="15.75" thickBot="1"/>
    <row r="45" spans="1:36" s="2" customFormat="1">
      <c r="A45" s="110" t="s">
        <v>828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08"/>
      <c r="AH45" s="111"/>
      <c r="AI45" s="112"/>
      <c r="AJ45" s="5"/>
    </row>
    <row r="46" spans="1:36" s="2" customFormat="1" ht="15" customHeight="1">
      <c r="A46" s="57" t="s">
        <v>829</v>
      </c>
      <c r="B46" s="58"/>
      <c r="C46" s="72"/>
      <c r="D46" s="72"/>
      <c r="E46" s="72"/>
      <c r="F46" s="59"/>
      <c r="G46" s="59"/>
      <c r="H46" s="58"/>
      <c r="I46" s="58"/>
      <c r="J46" s="59"/>
      <c r="K46" s="72"/>
      <c r="L46" s="72"/>
      <c r="M46" s="59"/>
      <c r="N46" s="59"/>
      <c r="O46" s="58"/>
      <c r="P46" s="58"/>
      <c r="Q46" s="59"/>
      <c r="R46" s="72"/>
      <c r="S46" s="72"/>
      <c r="T46" s="59"/>
      <c r="U46" s="59"/>
      <c r="V46" s="58"/>
      <c r="W46" s="58"/>
      <c r="X46" s="59"/>
      <c r="Y46" s="72"/>
      <c r="Z46" s="72"/>
      <c r="AA46" s="59"/>
      <c r="AB46" s="59"/>
      <c r="AC46" s="58"/>
      <c r="AD46" s="58"/>
      <c r="AE46" s="59"/>
      <c r="AF46" s="60"/>
      <c r="AG46" s="5"/>
      <c r="AH46" s="75" t="str">
        <f>A46</f>
        <v>Pintor</v>
      </c>
      <c r="AI46" s="67">
        <f>SUM(B46:AF46)</f>
        <v>0</v>
      </c>
      <c r="AJ46" s="5"/>
    </row>
    <row r="47" spans="1:36" s="2" customFormat="1">
      <c r="A47" s="63" t="s">
        <v>7</v>
      </c>
      <c r="B47" s="64"/>
      <c r="C47" s="74"/>
      <c r="D47" s="74"/>
      <c r="E47" s="74"/>
      <c r="F47" s="65"/>
      <c r="G47" s="65"/>
      <c r="H47" s="64"/>
      <c r="I47" s="64"/>
      <c r="J47" s="65"/>
      <c r="K47" s="74"/>
      <c r="L47" s="74"/>
      <c r="M47" s="65"/>
      <c r="N47" s="65"/>
      <c r="O47" s="64"/>
      <c r="P47" s="64"/>
      <c r="Q47" s="65"/>
      <c r="R47" s="74"/>
      <c r="S47" s="74"/>
      <c r="T47" s="65"/>
      <c r="U47" s="65"/>
      <c r="V47" s="64"/>
      <c r="W47" s="64"/>
      <c r="X47" s="65"/>
      <c r="Y47" s="74"/>
      <c r="Z47" s="74"/>
      <c r="AA47" s="65"/>
      <c r="AB47" s="65"/>
      <c r="AC47" s="64"/>
      <c r="AD47" s="64"/>
      <c r="AE47" s="65"/>
      <c r="AF47" s="66"/>
      <c r="AG47" s="5"/>
      <c r="AH47" s="76" t="str">
        <f>A47</f>
        <v>Servente</v>
      </c>
      <c r="AI47" s="69">
        <f>SUM(B47:AF47)</f>
        <v>0</v>
      </c>
      <c r="AJ47" s="5"/>
    </row>
    <row r="49" spans="1:36" s="2" customFormat="1">
      <c r="A49" s="110" t="s">
        <v>29</v>
      </c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08"/>
      <c r="AH49" s="111"/>
      <c r="AI49" s="112"/>
      <c r="AJ49" s="5"/>
    </row>
    <row r="50" spans="1:36" s="2" customFormat="1">
      <c r="A50" s="57" t="s">
        <v>30</v>
      </c>
      <c r="B50" s="58"/>
      <c r="C50" s="72"/>
      <c r="D50" s="72"/>
      <c r="E50" s="72"/>
      <c r="F50" s="59"/>
      <c r="G50" s="59"/>
      <c r="H50" s="58"/>
      <c r="I50" s="58"/>
      <c r="J50" s="59"/>
      <c r="K50" s="72"/>
      <c r="L50" s="72"/>
      <c r="M50" s="59"/>
      <c r="N50" s="59"/>
      <c r="O50" s="58"/>
      <c r="P50" s="58"/>
      <c r="Q50" s="59"/>
      <c r="R50" s="72"/>
      <c r="S50" s="72"/>
      <c r="T50" s="59"/>
      <c r="U50" s="59"/>
      <c r="V50" s="58"/>
      <c r="W50" s="58"/>
      <c r="X50" s="59"/>
      <c r="Y50" s="72"/>
      <c r="Z50" s="72"/>
      <c r="AA50" s="59"/>
      <c r="AB50" s="59"/>
      <c r="AC50" s="58"/>
      <c r="AD50" s="58"/>
      <c r="AE50" s="59"/>
      <c r="AF50" s="60"/>
      <c r="AG50" s="5"/>
      <c r="AH50" s="75" t="str">
        <f t="shared" ref="AH50:AH51" si="6">A50</f>
        <v>Eletricista</v>
      </c>
      <c r="AI50" s="67">
        <f t="shared" ref="AI50" si="7">SUM(B50:AF50)</f>
        <v>0</v>
      </c>
      <c r="AJ50" s="5"/>
    </row>
    <row r="51" spans="1:36" s="2" customFormat="1">
      <c r="A51" s="63" t="s">
        <v>25</v>
      </c>
      <c r="B51" s="64"/>
      <c r="C51" s="74"/>
      <c r="D51" s="74"/>
      <c r="E51" s="74"/>
      <c r="F51" s="65"/>
      <c r="G51" s="65"/>
      <c r="H51" s="64"/>
      <c r="I51" s="64"/>
      <c r="J51" s="65"/>
      <c r="K51" s="74"/>
      <c r="L51" s="74"/>
      <c r="M51" s="65"/>
      <c r="N51" s="44"/>
      <c r="O51" s="64"/>
      <c r="P51" s="64"/>
      <c r="Q51" s="44"/>
      <c r="R51" s="44"/>
      <c r="S51" s="44"/>
      <c r="T51" s="44"/>
      <c r="U51" s="44"/>
      <c r="V51" s="64"/>
      <c r="W51" s="64"/>
      <c r="X51" s="44"/>
      <c r="Y51" s="44"/>
      <c r="Z51" s="44"/>
      <c r="AA51" s="44"/>
      <c r="AB51" s="44"/>
      <c r="AC51" s="64"/>
      <c r="AD51" s="64"/>
      <c r="AE51" s="65"/>
      <c r="AF51" s="66"/>
      <c r="AG51" s="5"/>
      <c r="AH51" s="76" t="str">
        <f t="shared" si="6"/>
        <v>Bombeiro</v>
      </c>
      <c r="AI51" s="69">
        <f>SUM(B51:AF51)</f>
        <v>0</v>
      </c>
      <c r="AJ51" s="5"/>
    </row>
  </sheetData>
  <mergeCells count="9">
    <mergeCell ref="A39:AI39"/>
    <mergeCell ref="A45:AI45"/>
    <mergeCell ref="A49:AI49"/>
    <mergeCell ref="B1:AG2"/>
    <mergeCell ref="A6:AI6"/>
    <mergeCell ref="A15:AI15"/>
    <mergeCell ref="A22:AI22"/>
    <mergeCell ref="A29:AI29"/>
    <mergeCell ref="A35:AI35"/>
  </mergeCells>
  <pageMargins left="0.511811024" right="0.511811024" top="0.78740157499999996" bottom="0.78740157499999996" header="0.31496062000000002" footer="0.31496062000000002"/>
  <pageSetup paperSize="9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Almoxarife</dc:creator>
  <cp:keywords/>
  <dc:description/>
  <cp:lastModifiedBy>Usuário Convidado</cp:lastModifiedBy>
  <cp:revision/>
  <dcterms:created xsi:type="dcterms:W3CDTF">2025-05-08T19:14:21Z</dcterms:created>
  <dcterms:modified xsi:type="dcterms:W3CDTF">2026-04-17T16:41:36Z</dcterms:modified>
  <cp:category/>
  <cp:contentStatus/>
</cp:coreProperties>
</file>