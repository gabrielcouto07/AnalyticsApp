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981" documentId="13_ncr:1_{5F56E237-6F85-4BA0-959A-CB6F98F9809C}" xr6:coauthVersionLast="47" xr6:coauthVersionMax="47" xr10:uidLastSave="{AF584692-4096-449F-A08B-5358CAC1CADC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MP!$B$2:$Q$39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53" l="1"/>
  <c r="Q38" i="53"/>
  <c r="N38" i="53"/>
  <c r="H9" i="53"/>
  <c r="H38" i="53"/>
</calcChain>
</file>

<file path=xl/sharedStrings.xml><?xml version="1.0" encoding="utf-8"?>
<sst xmlns="http://schemas.openxmlformats.org/spreadsheetml/2006/main" count="77" uniqueCount="54">
  <si>
    <t>MAPA DE CONCORRÊNCIA</t>
  </si>
  <si>
    <t>FORNECEDOR 1</t>
  </si>
  <si>
    <t>FORNECEDOR 2</t>
  </si>
  <si>
    <t>FORNECEDOR 3</t>
  </si>
  <si>
    <t>OBRA:</t>
  </si>
  <si>
    <t>OBRA RIL - RESIDENCIA ISABELA E LUIZ RENNO</t>
  </si>
  <si>
    <t>N.º :</t>
  </si>
  <si>
    <t>14</t>
  </si>
  <si>
    <t>NOME</t>
  </si>
  <si>
    <t xml:space="preserve">Marmoraria Mharmaros </t>
  </si>
  <si>
    <t>DATA :</t>
  </si>
  <si>
    <t>CONTATO</t>
  </si>
  <si>
    <t>Weslley</t>
  </si>
  <si>
    <t>ASSU.:</t>
  </si>
  <si>
    <t>MARMORARIA</t>
  </si>
  <si>
    <t>TELEFONE</t>
  </si>
  <si>
    <t>(31) 3589-7000</t>
  </si>
  <si>
    <t>EMAIL</t>
  </si>
  <si>
    <t>mharmaros@mharmaros.com.br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</si>
  <si>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</si>
  <si>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</si>
  <si>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</si>
  <si>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</si>
  <si>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</si>
  <si>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</si>
  <si>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</si>
  <si>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</si>
  <si>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TOTAL</t>
  </si>
  <si>
    <t>VALOR INICIAL</t>
  </si>
  <si>
    <t>LAVABO GOURMET</t>
  </si>
  <si>
    <t>VB</t>
  </si>
  <si>
    <t>LAVABO SOCIAL</t>
  </si>
  <si>
    <t>LAVABO PISCINA</t>
  </si>
  <si>
    <t>BANHO MASTER</t>
  </si>
  <si>
    <t xml:space="preserve">BANHO FILHA </t>
  </si>
  <si>
    <t>BANHO FILHO</t>
  </si>
  <si>
    <t>BANHO HOSPEDE</t>
  </si>
  <si>
    <t>ESCRITÓRIO</t>
  </si>
  <si>
    <t>ENTRADA</t>
  </si>
  <si>
    <t>ACESSO LATERAL</t>
  </si>
  <si>
    <t>1° PAVIMENTO</t>
  </si>
  <si>
    <t xml:space="preserve">ESCADA INTIMA </t>
  </si>
  <si>
    <t>TERRAÇO DESCOBERTO 2° PAVIMENTO</t>
  </si>
  <si>
    <t>TERRAÇO FILHA</t>
  </si>
  <si>
    <t>COZINHA</t>
  </si>
  <si>
    <t>LOUÇARIA</t>
  </si>
  <si>
    <t>DESPENSA</t>
  </si>
  <si>
    <t>GOURMET</t>
  </si>
  <si>
    <t>ÁREA DE SERVIÇO</t>
  </si>
  <si>
    <t xml:space="preserve">BANHO SERVIÇO </t>
  </si>
  <si>
    <t>CHAPAS</t>
  </si>
  <si>
    <t>ENDEREÇO OBRA:</t>
  </si>
  <si>
    <t>Rua Mares de Montanha, nº 2620, Vale dos Cristais - Cidade: Nova Lima - MG.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</si>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</sst>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4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4" fontId="4" fillId="0" borderId="35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 applyProtection="1">
      <alignment horizontal="center" vertical="center"/>
      <protection locked="0"/>
    </xf>
    <xf numFmtId="14" fontId="8" fillId="5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8" fillId="5" borderId="45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6" fillId="0" borderId="37" xfId="0" applyFont="1" applyBorder="1" applyAlignment="1" applyProtection="1">
      <alignment horizontal="left" vertical="center"/>
      <protection locked="0"/>
    </xf>
    <xf numFmtId="0" fontId="6" fillId="0" borderId="39" xfId="0" applyFont="1" applyBorder="1" applyAlignment="1" applyProtection="1">
      <alignment horizontal="left" vertical="center"/>
      <protection locked="0"/>
    </xf>
    <xf numFmtId="0" fontId="8" fillId="5" borderId="33" xfId="0" applyFont="1" applyFill="1" applyBorder="1" applyAlignment="1">
      <alignment horizontal="center" vertical="center" wrapText="1"/>
    </xf>
    <xf numFmtId="0" fontId="6" fillId="0" borderId="39" xfId="0" applyFont="1" applyBorder="1" applyAlignment="1" applyProtection="1">
      <alignment vertical="center"/>
      <protection locked="0"/>
    </xf>
    <xf numFmtId="0" fontId="9" fillId="0" borderId="39" xfId="2" applyBorder="1" applyAlignment="1" applyProtection="1">
      <alignment horizontal="left" vertical="center"/>
      <protection locked="0"/>
    </xf>
    <xf numFmtId="0" fontId="9" fillId="0" borderId="41" xfId="2" applyBorder="1" applyAlignment="1" applyProtection="1">
      <alignment horizontal="left" vertical="center"/>
      <protection locked="0"/>
    </xf>
    <xf numFmtId="2" fontId="6" fillId="2" borderId="48" xfId="1" applyNumberFormat="1" applyFont="1" applyFill="1" applyBorder="1" applyAlignment="1">
      <alignment horizontal="center" vertical="center" wrapText="1" shrinkToFit="1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41" xfId="2" applyBorder="1" applyAlignment="1" applyProtection="1">
      <alignment horizontal="left" vertical="center" wrapText="1"/>
      <protection locked="0"/>
    </xf>
    <xf numFmtId="4" fontId="6" fillId="2" borderId="57" xfId="0" applyNumberFormat="1" applyFont="1" applyFill="1" applyBorder="1" applyAlignment="1" applyProtection="1">
      <alignment horizontal="center" vertical="center"/>
      <protection locked="0"/>
    </xf>
    <xf numFmtId="40" fontId="6" fillId="2" borderId="58" xfId="0" applyNumberFormat="1" applyFont="1" applyFill="1" applyBorder="1" applyAlignment="1">
      <alignment vertical="center"/>
    </xf>
    <xf numFmtId="4" fontId="6" fillId="2" borderId="31" xfId="0" applyNumberFormat="1" applyFont="1" applyFill="1" applyBorder="1" applyAlignment="1" applyProtection="1">
      <alignment horizontal="center" vertical="center"/>
      <protection locked="0"/>
    </xf>
    <xf numFmtId="4" fontId="6" fillId="0" borderId="59" xfId="0" applyNumberFormat="1" applyFont="1" applyBorder="1" applyAlignment="1" applyProtection="1">
      <alignment horizontal="center" vertical="center"/>
      <protection locked="0"/>
    </xf>
    <xf numFmtId="0" fontId="6" fillId="2" borderId="60" xfId="0" quotePrefix="1" applyFont="1" applyFill="1" applyBorder="1" applyAlignment="1">
      <alignment horizontal="center" vertical="center"/>
    </xf>
    <xf numFmtId="4" fontId="6" fillId="0" borderId="61" xfId="0" applyNumberFormat="1" applyFont="1" applyBorder="1" applyAlignment="1" applyProtection="1">
      <alignment horizontal="center" vertical="center"/>
      <protection locked="0"/>
    </xf>
    <xf numFmtId="1" fontId="6" fillId="2" borderId="43" xfId="0" applyNumberFormat="1" applyFont="1" applyFill="1" applyBorder="1" applyAlignment="1" applyProtection="1">
      <alignment horizontal="center" vertical="center"/>
      <protection locked="0"/>
    </xf>
    <xf numFmtId="4" fontId="6" fillId="2" borderId="43" xfId="0" applyNumberFormat="1" applyFont="1" applyFill="1" applyBorder="1" applyAlignment="1" applyProtection="1">
      <alignment horizontal="center" vertical="center"/>
      <protection locked="0"/>
    </xf>
    <xf numFmtId="40" fontId="6" fillId="2" borderId="44" xfId="0" applyNumberFormat="1" applyFont="1" applyFill="1" applyBorder="1" applyAlignment="1">
      <alignment horizontal="center" vertical="center"/>
    </xf>
    <xf numFmtId="0" fontId="11" fillId="2" borderId="62" xfId="0" applyFont="1" applyFill="1" applyBorder="1" applyAlignment="1" applyProtection="1">
      <alignment horizontal="left" vertical="center" wrapText="1"/>
      <protection locked="0"/>
    </xf>
    <xf numFmtId="0" fontId="6" fillId="2" borderId="62" xfId="0" quotePrefix="1" applyFont="1" applyFill="1" applyBorder="1" applyAlignment="1">
      <alignment horizontal="center" vertical="center"/>
    </xf>
    <xf numFmtId="0" fontId="11" fillId="2" borderId="63" xfId="0" applyFont="1" applyFill="1" applyBorder="1" applyAlignment="1" applyProtection="1">
      <alignment horizontal="left" vertical="center" wrapText="1"/>
      <protection locked="0"/>
    </xf>
    <xf numFmtId="2" fontId="6" fillId="2" borderId="64" xfId="1" applyNumberFormat="1" applyFont="1" applyFill="1" applyBorder="1" applyAlignment="1">
      <alignment horizontal="center" vertical="center" wrapText="1" shrinkToFit="1"/>
    </xf>
    <xf numFmtId="0" fontId="6" fillId="2" borderId="65" xfId="0" applyFont="1" applyFill="1" applyBorder="1" applyAlignment="1" applyProtection="1">
      <alignment horizontal="center" vertical="center"/>
      <protection locked="0"/>
    </xf>
    <xf numFmtId="4" fontId="6" fillId="0" borderId="66" xfId="0" applyNumberFormat="1" applyFont="1" applyBorder="1" applyAlignment="1" applyProtection="1">
      <alignment horizontal="center" vertical="center"/>
      <protection locked="0"/>
    </xf>
    <xf numFmtId="4" fontId="6" fillId="2" borderId="62" xfId="0" applyNumberFormat="1" applyFont="1" applyFill="1" applyBorder="1" applyAlignment="1" applyProtection="1">
      <alignment horizontal="center" vertical="center"/>
      <protection locked="0"/>
    </xf>
    <xf numFmtId="1" fontId="6" fillId="0" borderId="62" xfId="0" applyNumberFormat="1" applyFont="1" applyBorder="1" applyAlignment="1" applyProtection="1">
      <alignment vertical="center"/>
      <protection locked="0"/>
    </xf>
    <xf numFmtId="0" fontId="6" fillId="2" borderId="68" xfId="0" applyFont="1" applyFill="1" applyBorder="1" applyAlignment="1" applyProtection="1">
      <alignment horizontal="center" vertical="center"/>
      <protection locked="0"/>
    </xf>
    <xf numFmtId="0" fontId="6" fillId="2" borderId="69" xfId="0" quotePrefix="1" applyFont="1" applyFill="1" applyBorder="1" applyAlignment="1">
      <alignment horizontal="center" vertical="center"/>
    </xf>
    <xf numFmtId="40" fontId="6" fillId="2" borderId="70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 applyProtection="1">
      <alignment horizontal="left" vertical="center" wrapText="1"/>
      <protection locked="0"/>
    </xf>
    <xf numFmtId="0" fontId="4" fillId="0" borderId="17" xfId="0" applyFont="1" applyBorder="1" applyAlignment="1">
      <alignment horizontal="center" vertical="center"/>
    </xf>
    <xf numFmtId="40" fontId="6" fillId="2" borderId="62" xfId="0" applyNumberFormat="1" applyFont="1" applyFill="1" applyBorder="1" applyAlignment="1">
      <alignment horizontal="center" vertical="center"/>
    </xf>
    <xf numFmtId="4" fontId="6" fillId="2" borderId="72" xfId="0" applyNumberFormat="1" applyFont="1" applyFill="1" applyBorder="1" applyAlignment="1" applyProtection="1">
      <alignment horizontal="center" vertical="center"/>
      <protection locked="0"/>
    </xf>
    <xf numFmtId="2" fontId="6" fillId="2" borderId="71" xfId="1" applyNumberFormat="1" applyFont="1" applyFill="1" applyBorder="1" applyAlignment="1">
      <alignment horizontal="center" vertical="center" wrapText="1" shrinkToFit="1"/>
    </xf>
    <xf numFmtId="0" fontId="6" fillId="2" borderId="67" xfId="0" quotePrefix="1" applyFont="1" applyFill="1" applyBorder="1" applyAlignment="1">
      <alignment horizontal="center" vertical="center"/>
    </xf>
    <xf numFmtId="0" fontId="6" fillId="2" borderId="72" xfId="0" quotePrefix="1" applyFont="1" applyFill="1" applyBorder="1" applyAlignment="1">
      <alignment horizontal="center" vertical="center"/>
    </xf>
    <xf numFmtId="40" fontId="6" fillId="2" borderId="73" xfId="0" applyNumberFormat="1" applyFont="1" applyFill="1" applyBorder="1" applyAlignment="1">
      <alignment horizontal="center" vertical="center"/>
    </xf>
    <xf numFmtId="40" fontId="6" fillId="2" borderId="67" xfId="0" applyNumberFormat="1" applyFont="1" applyFill="1" applyBorder="1" applyAlignment="1">
      <alignment horizontal="center" vertical="center"/>
    </xf>
    <xf numFmtId="0" fontId="11" fillId="2" borderId="67" xfId="0" applyFont="1" applyFill="1" applyBorder="1" applyAlignment="1" applyProtection="1">
      <alignment horizontal="left" vertical="center" wrapText="1"/>
      <protection locked="0"/>
    </xf>
    <xf numFmtId="4" fontId="6" fillId="2" borderId="60" xfId="0" applyNumberFormat="1" applyFont="1" applyFill="1" applyBorder="1" applyAlignment="1" applyProtection="1">
      <alignment horizontal="center" vertical="center"/>
      <protection locked="0"/>
    </xf>
    <xf numFmtId="2" fontId="6" fillId="2" borderId="74" xfId="1" applyNumberFormat="1" applyFont="1" applyFill="1" applyBorder="1" applyAlignment="1">
      <alignment horizontal="center" vertical="center" wrapText="1" shrinkToFit="1"/>
    </xf>
    <xf numFmtId="40" fontId="6" fillId="2" borderId="63" xfId="0" applyNumberFormat="1" applyFont="1" applyFill="1" applyBorder="1" applyAlignment="1">
      <alignment horizontal="center" vertical="center"/>
    </xf>
    <xf numFmtId="164" fontId="5" fillId="3" borderId="45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9" xfId="0" applyFont="1" applyFill="1" applyBorder="1" applyAlignment="1" applyProtection="1">
      <alignment horizontal="left" vertical="center" wrapText="1"/>
      <protection locked="0"/>
    </xf>
    <xf numFmtId="0" fontId="8" fillId="5" borderId="23" xfId="0" applyFont="1" applyFill="1" applyBorder="1" applyAlignment="1" applyProtection="1">
      <alignment horizontal="left" vertical="center" wrapText="1"/>
      <protection locked="0"/>
    </xf>
    <xf numFmtId="0" fontId="8" fillId="5" borderId="32" xfId="0" applyFont="1" applyFill="1" applyBorder="1" applyAlignment="1" applyProtection="1">
      <alignment horizontal="left" vertical="center" wrapText="1"/>
      <protection locked="0"/>
    </xf>
    <xf numFmtId="0" fontId="8" fillId="5" borderId="46" xfId="0" applyFont="1" applyFill="1" applyBorder="1" applyAlignment="1" applyProtection="1">
      <alignment horizontal="left" vertical="center" wrapText="1"/>
      <protection locked="0"/>
    </xf>
    <xf numFmtId="0" fontId="8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47" xfId="0" applyNumberFormat="1" applyFont="1" applyFill="1" applyBorder="1" applyAlignment="1">
      <alignment horizontal="center" vertical="center"/>
    </xf>
    <xf numFmtId="4" fontId="8" fillId="5" borderId="32" xfId="0" applyNumberFormat="1" applyFont="1" applyFill="1" applyBorder="1" applyAlignment="1">
      <alignment horizontal="center" vertical="center"/>
    </xf>
    <xf numFmtId="4" fontId="8" fillId="5" borderId="30" xfId="0" applyNumberFormat="1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1" fontId="8" fillId="4" borderId="43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1" fontId="8" fillId="4" borderId="19" xfId="0" applyNumberFormat="1" applyFont="1" applyFill="1" applyBorder="1" applyAlignment="1">
      <alignment horizontal="center" vertical="center" wrapText="1"/>
    </xf>
    <xf numFmtId="4" fontId="8" fillId="4" borderId="44" xfId="0" applyNumberFormat="1" applyFont="1" applyFill="1" applyBorder="1" applyAlignment="1">
      <alignment horizontal="center" vertical="center" wrapText="1"/>
    </xf>
    <xf numFmtId="4" fontId="8" fillId="4" borderId="28" xfId="0" applyNumberFormat="1" applyFont="1" applyFill="1" applyBorder="1" applyAlignment="1">
      <alignment horizontal="center" vertical="center" wrapText="1"/>
    </xf>
    <xf numFmtId="4" fontId="8" fillId="4" borderId="25" xfId="0" applyNumberFormat="1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5" borderId="26" xfId="0" applyFont="1" applyFill="1" applyBorder="1" applyAlignment="1">
      <alignment horizontal="right" vertical="center"/>
    </xf>
    <xf numFmtId="0" fontId="8" fillId="5" borderId="27" xfId="0" applyFont="1" applyFill="1" applyBorder="1" applyAlignment="1">
      <alignment horizontal="right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>
      <alignment horizontal="right" vertical="center"/>
    </xf>
    <xf numFmtId="0" fontId="8" fillId="5" borderId="16" xfId="0" applyFont="1" applyFill="1" applyBorder="1" applyAlignment="1">
      <alignment horizontal="right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</xdr:rowOff>
    </xdr:from>
    <xdr:to>
      <xdr:col>2</xdr:col>
      <xdr:colOff>666750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A024A1-E19E-4A50-A4E0-ADE224C9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625"/>
          <a:ext cx="1743075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harmaros@mharmaro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U58"/>
  <sheetViews>
    <sheetView showGridLines="0" tabSelected="1" zoomScale="80" zoomScaleNormal="80" workbookViewId="0">
      <selection activeCell="M18" sqref="M18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18.140625" style="4" customWidth="1"/>
    <col min="11" max="11" width="36.7109375" style="3" customWidth="1"/>
    <col min="12" max="12" width="1.7109375" style="6" customWidth="1"/>
    <col min="13" max="13" width="19.85546875" style="4" customWidth="1"/>
    <col min="14" max="14" width="41.7109375" style="3" customWidth="1"/>
    <col min="15" max="15" width="1.7109375" style="6" customWidth="1"/>
    <col min="16" max="16" width="13.42578125" style="4" customWidth="1"/>
    <col min="17" max="17" width="43.285156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1" ht="6" customHeight="1"/>
    <row r="2" spans="1:21" ht="33" customHeight="1">
      <c r="A2" s="119" t="s">
        <v>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1"/>
    </row>
    <row r="3" spans="1:21" ht="20.100000000000001" customHeigh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4"/>
    </row>
    <row r="4" spans="1:21" ht="82.15" customHeight="1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</row>
    <row r="5" spans="1:21" s="23" customFormat="1" ht="4.9000000000000004" customHeight="1">
      <c r="A5" s="20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21" ht="20.100000000000001" customHeight="1">
      <c r="B6" s="27"/>
      <c r="C6" s="28"/>
      <c r="D6" s="29"/>
      <c r="E6" s="29"/>
      <c r="F6" s="29"/>
      <c r="G6" s="29"/>
      <c r="H6" s="30"/>
      <c r="J6" s="128" t="s">
        <v>1</v>
      </c>
      <c r="K6" s="129"/>
      <c r="M6" s="128" t="s">
        <v>2</v>
      </c>
      <c r="N6" s="129"/>
      <c r="P6" s="128" t="s">
        <v>3</v>
      </c>
      <c r="Q6" s="129"/>
      <c r="R6" s="6"/>
      <c r="S6" s="132"/>
      <c r="T6" s="132"/>
      <c r="U6" s="23"/>
    </row>
    <row r="7" spans="1:21" ht="5.0999999999999996" customHeight="1">
      <c r="J7" s="3"/>
      <c r="M7" s="3"/>
      <c r="P7" s="3"/>
      <c r="R7" s="6"/>
      <c r="S7" s="20"/>
      <c r="T7" s="20"/>
      <c r="U7" s="23"/>
    </row>
    <row r="8" spans="1:21" ht="20.100000000000001" customHeight="1">
      <c r="B8" s="90" t="s">
        <v>4</v>
      </c>
      <c r="C8" s="139" t="s">
        <v>5</v>
      </c>
      <c r="D8" s="139"/>
      <c r="E8" s="140"/>
      <c r="F8" s="143" t="s">
        <v>6</v>
      </c>
      <c r="G8" s="144"/>
      <c r="H8" s="18" t="s">
        <v>7</v>
      </c>
      <c r="J8" s="15" t="s">
        <v>8</v>
      </c>
      <c r="K8" s="31" t="s">
        <v>9</v>
      </c>
      <c r="M8" s="15" t="s">
        <v>8</v>
      </c>
      <c r="N8" s="31"/>
      <c r="P8" s="15" t="s">
        <v>8</v>
      </c>
      <c r="Q8" s="31"/>
      <c r="R8" s="6"/>
      <c r="S8" s="39"/>
      <c r="T8" s="40"/>
      <c r="U8" s="23"/>
    </row>
    <row r="9" spans="1:21" ht="20.100000000000001" customHeight="1">
      <c r="B9" s="91"/>
      <c r="C9" s="141"/>
      <c r="D9" s="141"/>
      <c r="E9" s="142"/>
      <c r="F9" s="134" t="s">
        <v>10</v>
      </c>
      <c r="G9" s="135"/>
      <c r="H9" s="19">
        <f ca="1">TODAY()</f>
        <v>46131</v>
      </c>
      <c r="J9" s="16" t="s">
        <v>11</v>
      </c>
      <c r="K9" s="34" t="s">
        <v>12</v>
      </c>
      <c r="M9" s="16" t="s">
        <v>11</v>
      </c>
      <c r="N9" s="34"/>
      <c r="P9" s="16" t="s">
        <v>11</v>
      </c>
      <c r="Q9" s="34"/>
      <c r="R9" s="6"/>
      <c r="S9" s="39"/>
      <c r="T9" s="40"/>
      <c r="U9" s="23"/>
    </row>
    <row r="10" spans="1:21" ht="20.100000000000001" customHeight="1">
      <c r="B10" s="100" t="s">
        <v>13</v>
      </c>
      <c r="C10" s="92" t="s">
        <v>14</v>
      </c>
      <c r="D10" s="92"/>
      <c r="E10" s="93"/>
      <c r="F10" s="102"/>
      <c r="G10" s="103"/>
      <c r="H10" s="104"/>
      <c r="J10" s="16" t="s">
        <v>15</v>
      </c>
      <c r="K10" s="32" t="s">
        <v>16</v>
      </c>
      <c r="M10" s="16" t="s">
        <v>15</v>
      </c>
      <c r="N10" s="32"/>
      <c r="P10" s="16" t="s">
        <v>15</v>
      </c>
      <c r="Q10" s="32"/>
      <c r="R10" s="6"/>
      <c r="S10" s="39"/>
      <c r="T10" s="40"/>
      <c r="U10" s="23"/>
    </row>
    <row r="11" spans="1:21" ht="20.100000000000001" customHeight="1">
      <c r="B11" s="101"/>
      <c r="C11" s="94"/>
      <c r="D11" s="94"/>
      <c r="E11" s="95"/>
      <c r="F11" s="105"/>
      <c r="G11" s="106"/>
      <c r="H11" s="107"/>
      <c r="J11" s="17" t="s">
        <v>17</v>
      </c>
      <c r="K11" s="35" t="s">
        <v>18</v>
      </c>
      <c r="M11" s="17" t="s">
        <v>17</v>
      </c>
      <c r="N11" s="49"/>
      <c r="P11" s="17" t="s">
        <v>17</v>
      </c>
      <c r="Q11" s="36"/>
      <c r="R11" s="6"/>
      <c r="S11" s="39"/>
      <c r="T11" s="40"/>
      <c r="U11" s="23"/>
    </row>
    <row r="12" spans="1:21" ht="5.0999999999999996" customHeight="1">
      <c r="B12" s="136"/>
      <c r="C12" s="137"/>
      <c r="D12" s="137"/>
      <c r="E12" s="137"/>
      <c r="F12" s="137"/>
      <c r="G12" s="137"/>
      <c r="H12" s="138"/>
      <c r="K12" s="4"/>
      <c r="N12" s="4"/>
      <c r="Q12" s="4"/>
      <c r="R12" s="6"/>
      <c r="S12" s="41"/>
      <c r="T12" s="41"/>
      <c r="U12" s="23"/>
    </row>
    <row r="13" spans="1:21" ht="20.100000000000001" customHeight="1">
      <c r="B13" s="117" t="s">
        <v>19</v>
      </c>
      <c r="C13" s="108" t="s">
        <v>20</v>
      </c>
      <c r="D13" s="108" t="s">
        <v>21</v>
      </c>
      <c r="E13" s="108" t="s">
        <v>22</v>
      </c>
      <c r="F13" s="111" t="s">
        <v>23</v>
      </c>
      <c r="G13" s="108" t="s">
        <v>24</v>
      </c>
      <c r="H13" s="114" t="s">
        <v>25</v>
      </c>
      <c r="I13" s="7"/>
      <c r="J13" s="96" t="s">
        <v>26</v>
      </c>
      <c r="K13" s="97"/>
      <c r="L13" s="7"/>
      <c r="M13" s="96" t="s">
        <v>26</v>
      </c>
      <c r="N13" s="97"/>
      <c r="O13" s="7"/>
      <c r="P13" s="96" t="s">
        <v>26</v>
      </c>
      <c r="Q13" s="97"/>
      <c r="R13" s="7"/>
      <c r="S13" s="133"/>
      <c r="T13" s="133"/>
      <c r="U13" s="23"/>
    </row>
    <row r="14" spans="1:21" ht="20.100000000000001" customHeight="1">
      <c r="B14" s="118"/>
      <c r="C14" s="109"/>
      <c r="D14" s="109"/>
      <c r="E14" s="109"/>
      <c r="F14" s="112"/>
      <c r="G14" s="109"/>
      <c r="H14" s="115"/>
      <c r="I14" s="7"/>
      <c r="J14" s="98" t="s">
        <v>24</v>
      </c>
      <c r="K14" s="130" t="s">
        <v>27</v>
      </c>
      <c r="L14" s="7"/>
      <c r="M14" s="98" t="s">
        <v>24</v>
      </c>
      <c r="N14" s="130" t="s">
        <v>27</v>
      </c>
      <c r="O14" s="7"/>
      <c r="P14" s="98" t="s">
        <v>28</v>
      </c>
      <c r="Q14" s="130" t="s">
        <v>27</v>
      </c>
      <c r="R14" s="7"/>
      <c r="S14" s="133"/>
      <c r="T14" s="133"/>
      <c r="U14" s="23"/>
    </row>
    <row r="15" spans="1:21" ht="20.100000000000001" customHeight="1">
      <c r="B15" s="99"/>
      <c r="C15" s="110"/>
      <c r="D15" s="110"/>
      <c r="E15" s="110"/>
      <c r="F15" s="113"/>
      <c r="G15" s="110"/>
      <c r="H15" s="116"/>
      <c r="I15" s="7"/>
      <c r="J15" s="99"/>
      <c r="K15" s="131"/>
      <c r="L15" s="7"/>
      <c r="M15" s="99"/>
      <c r="N15" s="131"/>
      <c r="O15" s="7"/>
      <c r="P15" s="99"/>
      <c r="Q15" s="131"/>
      <c r="R15" s="7"/>
      <c r="S15" s="133"/>
      <c r="T15" s="133"/>
      <c r="U15" s="23"/>
    </row>
    <row r="16" spans="1:21" ht="5.0999999999999996" customHeight="1">
      <c r="B16" s="71"/>
      <c r="C16" s="8"/>
      <c r="D16" s="9"/>
      <c r="E16" s="9"/>
      <c r="F16" s="10"/>
      <c r="G16" s="9"/>
      <c r="H16" s="11"/>
      <c r="J16" s="3"/>
      <c r="M16" s="3"/>
      <c r="P16" s="3"/>
      <c r="R16" s="6"/>
      <c r="S16" s="20"/>
      <c r="T16" s="20"/>
      <c r="U16" s="23"/>
    </row>
    <row r="17" spans="2:21" ht="47.25" customHeight="1">
      <c r="B17" s="75">
        <v>1</v>
      </c>
      <c r="C17" s="70" t="s">
        <v>29</v>
      </c>
      <c r="D17" s="37">
        <v>1</v>
      </c>
      <c r="E17" s="38" t="s">
        <v>30</v>
      </c>
      <c r="F17" s="56"/>
      <c r="G17" s="57"/>
      <c r="H17" s="58"/>
      <c r="I17" s="12"/>
      <c r="J17" s="65"/>
      <c r="K17" s="82">
        <v>25065.61</v>
      </c>
      <c r="L17" s="12"/>
      <c r="M17" s="50"/>
      <c r="N17" s="51"/>
      <c r="O17" s="12"/>
      <c r="P17" s="50"/>
      <c r="Q17" s="51"/>
      <c r="R17" s="12"/>
      <c r="S17" s="42"/>
      <c r="T17" s="43"/>
      <c r="U17" s="23"/>
    </row>
    <row r="18" spans="2:21" ht="50.25" customHeight="1">
      <c r="B18" s="76">
        <v>2</v>
      </c>
      <c r="C18" s="59" t="s">
        <v>31</v>
      </c>
      <c r="D18" s="74"/>
      <c r="E18" s="67"/>
      <c r="F18" s="66"/>
      <c r="G18" s="55"/>
      <c r="H18" s="53"/>
      <c r="J18" s="52"/>
      <c r="K18" s="77">
        <v>39678.65</v>
      </c>
      <c r="M18" s="50"/>
      <c r="N18" s="51"/>
      <c r="P18" s="50"/>
      <c r="Q18" s="51"/>
      <c r="R18" s="6"/>
      <c r="S18" s="44"/>
      <c r="T18" s="44"/>
      <c r="U18" s="23"/>
    </row>
    <row r="19" spans="2:21" ht="57" customHeight="1">
      <c r="B19" s="75">
        <v>3</v>
      </c>
      <c r="C19" s="79" t="s">
        <v>32</v>
      </c>
      <c r="D19" s="62">
        <v>1</v>
      </c>
      <c r="E19" s="63" t="s">
        <v>30</v>
      </c>
      <c r="F19" s="68"/>
      <c r="G19" s="68"/>
      <c r="H19" s="64"/>
      <c r="J19" s="73"/>
      <c r="K19" s="78">
        <v>4553.54</v>
      </c>
      <c r="M19" s="50"/>
      <c r="N19" s="51"/>
      <c r="P19" s="50"/>
      <c r="Q19" s="51"/>
      <c r="R19" s="6"/>
      <c r="S19" s="44"/>
      <c r="T19" s="44"/>
      <c r="U19" s="23"/>
    </row>
    <row r="20" spans="2:21" ht="60.75" customHeight="1">
      <c r="B20" s="60">
        <v>4</v>
      </c>
      <c r="C20" s="61" t="s">
        <v>33</v>
      </c>
      <c r="D20" s="62">
        <v>1</v>
      </c>
      <c r="E20" s="63" t="s">
        <v>30</v>
      </c>
      <c r="F20" s="68"/>
      <c r="G20" s="68"/>
      <c r="H20" s="64"/>
      <c r="J20" s="65"/>
      <c r="K20" s="69">
        <v>10025.01</v>
      </c>
      <c r="M20" s="50"/>
      <c r="N20" s="51"/>
      <c r="P20" s="50"/>
      <c r="Q20" s="51"/>
      <c r="R20" s="6"/>
      <c r="S20" s="44"/>
      <c r="T20" s="44"/>
      <c r="U20" s="23"/>
    </row>
    <row r="21" spans="2:21" ht="69.75" customHeight="1">
      <c r="B21" s="54">
        <v>5</v>
      </c>
      <c r="C21" s="59" t="s">
        <v>34</v>
      </c>
      <c r="D21" s="81">
        <v>1</v>
      </c>
      <c r="E21" s="63" t="s">
        <v>30</v>
      </c>
      <c r="F21" s="68"/>
      <c r="G21" s="68"/>
      <c r="H21" s="64"/>
      <c r="J21" s="80"/>
      <c r="K21" s="72">
        <v>3325.84</v>
      </c>
      <c r="M21" s="50"/>
      <c r="N21" s="51"/>
      <c r="P21" s="50"/>
      <c r="Q21" s="51"/>
      <c r="R21" s="6"/>
      <c r="S21" s="44"/>
      <c r="T21" s="44"/>
      <c r="U21" s="23"/>
    </row>
    <row r="22" spans="2:21" ht="69.75" customHeight="1">
      <c r="B22" s="54">
        <v>6</v>
      </c>
      <c r="C22" s="59" t="s">
        <v>35</v>
      </c>
      <c r="D22" s="81">
        <v>1</v>
      </c>
      <c r="E22" s="63" t="s">
        <v>30</v>
      </c>
      <c r="F22" s="68"/>
      <c r="G22" s="68"/>
      <c r="H22" s="64"/>
      <c r="J22" s="80"/>
      <c r="K22" s="72">
        <v>2447.31</v>
      </c>
      <c r="M22" s="50"/>
      <c r="N22" s="51"/>
      <c r="P22" s="50"/>
      <c r="Q22" s="51"/>
      <c r="R22" s="6"/>
      <c r="S22" s="44"/>
      <c r="T22" s="44"/>
      <c r="U22" s="23"/>
    </row>
    <row r="23" spans="2:21" ht="69.75" customHeight="1">
      <c r="B23" s="54">
        <v>7</v>
      </c>
      <c r="C23" s="59" t="s">
        <v>36</v>
      </c>
      <c r="D23" s="81">
        <v>1</v>
      </c>
      <c r="E23" s="63" t="s">
        <v>30</v>
      </c>
      <c r="F23" s="68"/>
      <c r="G23" s="68"/>
      <c r="H23" s="64"/>
      <c r="J23" s="80"/>
      <c r="K23" s="72">
        <v>10188</v>
      </c>
      <c r="M23" s="50"/>
      <c r="N23" s="51"/>
      <c r="P23" s="50"/>
      <c r="Q23" s="51"/>
      <c r="R23" s="6"/>
      <c r="S23" s="44"/>
      <c r="T23" s="44"/>
      <c r="U23" s="23"/>
    </row>
    <row r="24" spans="2:21" ht="69.75" customHeight="1">
      <c r="B24" s="54">
        <v>8</v>
      </c>
      <c r="C24" s="59" t="s">
        <v>37</v>
      </c>
      <c r="D24" s="81">
        <v>1</v>
      </c>
      <c r="E24" s="63" t="s">
        <v>30</v>
      </c>
      <c r="F24" s="68"/>
      <c r="G24" s="68"/>
      <c r="H24" s="64"/>
      <c r="J24" s="80"/>
      <c r="K24" s="72">
        <v>23450.33</v>
      </c>
      <c r="M24" s="50"/>
      <c r="N24" s="51"/>
      <c r="P24" s="50"/>
      <c r="Q24" s="51"/>
      <c r="R24" s="6"/>
      <c r="S24" s="44"/>
      <c r="T24" s="44"/>
      <c r="U24" s="23"/>
    </row>
    <row r="25" spans="2:21" ht="69.75" customHeight="1">
      <c r="B25" s="54">
        <v>9</v>
      </c>
      <c r="C25" s="59" t="s">
        <v>38</v>
      </c>
      <c r="D25" s="81">
        <v>1</v>
      </c>
      <c r="E25" s="63" t="s">
        <v>30</v>
      </c>
      <c r="F25" s="68"/>
      <c r="G25" s="68"/>
      <c r="H25" s="64"/>
      <c r="J25" s="80"/>
      <c r="K25" s="72">
        <v>17396.39</v>
      </c>
      <c r="M25" s="50"/>
      <c r="N25" s="51"/>
      <c r="P25" s="50"/>
      <c r="Q25" s="51"/>
      <c r="R25" s="6"/>
      <c r="S25" s="44"/>
      <c r="T25" s="44"/>
      <c r="U25" s="23"/>
    </row>
    <row r="26" spans="2:21" ht="69.75" customHeight="1">
      <c r="B26" s="54">
        <v>10</v>
      </c>
      <c r="C26" s="59" t="s">
        <v>39</v>
      </c>
      <c r="D26" s="81"/>
      <c r="E26" s="63"/>
      <c r="F26" s="68"/>
      <c r="G26" s="68"/>
      <c r="H26" s="64"/>
      <c r="J26" s="80"/>
      <c r="K26" s="72">
        <v>240763.29</v>
      </c>
      <c r="M26" s="50"/>
      <c r="N26" s="51"/>
      <c r="P26" s="50"/>
      <c r="Q26" s="51"/>
      <c r="R26" s="6"/>
      <c r="S26" s="44"/>
      <c r="T26" s="44"/>
      <c r="U26" s="23"/>
    </row>
    <row r="27" spans="2:21" ht="69.75" customHeight="1">
      <c r="B27" s="54">
        <v>11</v>
      </c>
      <c r="C27" s="59" t="s">
        <v>40</v>
      </c>
      <c r="D27" s="81"/>
      <c r="E27" s="63"/>
      <c r="F27" s="68"/>
      <c r="G27" s="68"/>
      <c r="H27" s="64"/>
      <c r="J27" s="80"/>
      <c r="K27" s="72">
        <v>419523.19</v>
      </c>
      <c r="M27" s="50"/>
      <c r="N27" s="51"/>
      <c r="P27" s="50"/>
      <c r="Q27" s="51"/>
      <c r="R27" s="6"/>
      <c r="S27" s="44"/>
      <c r="T27" s="44"/>
      <c r="U27" s="23"/>
    </row>
    <row r="28" spans="2:21" ht="69.75" customHeight="1">
      <c r="B28" s="54">
        <v>12</v>
      </c>
      <c r="C28" s="59" t="s">
        <v>41</v>
      </c>
      <c r="D28" s="81"/>
      <c r="E28" s="63"/>
      <c r="F28" s="68"/>
      <c r="G28" s="68"/>
      <c r="H28" s="64"/>
      <c r="J28" s="80"/>
      <c r="K28" s="72">
        <v>26460.46</v>
      </c>
      <c r="M28" s="50"/>
      <c r="N28" s="51"/>
      <c r="P28" s="50"/>
      <c r="Q28" s="51"/>
      <c r="R28" s="6"/>
      <c r="S28" s="44"/>
      <c r="T28" s="44"/>
      <c r="U28" s="23"/>
    </row>
    <row r="29" spans="2:21" ht="69.75" customHeight="1">
      <c r="B29" s="54">
        <v>13</v>
      </c>
      <c r="C29" s="59" t="s">
        <v>42</v>
      </c>
      <c r="D29" s="81"/>
      <c r="E29" s="63"/>
      <c r="F29" s="68"/>
      <c r="G29" s="68"/>
      <c r="H29" s="64"/>
      <c r="J29" s="80"/>
      <c r="K29" s="72">
        <v>65425.02</v>
      </c>
      <c r="M29" s="50"/>
      <c r="N29" s="51"/>
      <c r="P29" s="50"/>
      <c r="Q29" s="51"/>
      <c r="R29" s="6"/>
      <c r="S29" s="44"/>
      <c r="T29" s="44"/>
      <c r="U29" s="23"/>
    </row>
    <row r="30" spans="2:21" ht="69.75" customHeight="1">
      <c r="B30" s="54">
        <v>14</v>
      </c>
      <c r="C30" s="59" t="s">
        <v>43</v>
      </c>
      <c r="D30" s="81"/>
      <c r="E30" s="63"/>
      <c r="F30" s="68"/>
      <c r="G30" s="68"/>
      <c r="H30" s="64"/>
      <c r="J30" s="80"/>
      <c r="K30" s="72">
        <v>27494.91</v>
      </c>
      <c r="M30" s="50"/>
      <c r="N30" s="51"/>
      <c r="P30" s="50"/>
      <c r="Q30" s="51"/>
      <c r="R30" s="6"/>
      <c r="S30" s="44"/>
      <c r="T30" s="44"/>
      <c r="U30" s="23"/>
    </row>
    <row r="31" spans="2:21" ht="69.75" customHeight="1">
      <c r="B31" s="54">
        <v>15</v>
      </c>
      <c r="C31" s="59" t="s">
        <v>44</v>
      </c>
      <c r="D31" s="81"/>
      <c r="E31" s="63"/>
      <c r="F31" s="68"/>
      <c r="G31" s="68"/>
      <c r="H31" s="64"/>
      <c r="J31" s="80"/>
      <c r="K31" s="72">
        <v>23415.439999999999</v>
      </c>
      <c r="M31" s="50"/>
      <c r="N31" s="51"/>
      <c r="P31" s="50"/>
      <c r="Q31" s="51"/>
      <c r="R31" s="6"/>
      <c r="S31" s="44"/>
      <c r="T31" s="44"/>
      <c r="U31" s="23"/>
    </row>
    <row r="32" spans="2:21" ht="69.75" customHeight="1">
      <c r="B32" s="54">
        <v>16</v>
      </c>
      <c r="C32" s="59" t="s">
        <v>45</v>
      </c>
      <c r="D32" s="81"/>
      <c r="E32" s="63"/>
      <c r="F32" s="68"/>
      <c r="G32" s="68"/>
      <c r="H32" s="64"/>
      <c r="J32" s="80"/>
      <c r="K32" s="72">
        <v>1089.73</v>
      </c>
      <c r="M32" s="50"/>
      <c r="N32" s="51"/>
      <c r="P32" s="50"/>
      <c r="Q32" s="51"/>
      <c r="R32" s="6"/>
      <c r="S32" s="44"/>
      <c r="T32" s="44"/>
      <c r="U32" s="23"/>
    </row>
    <row r="33" spans="1:21" ht="69.75" customHeight="1">
      <c r="B33" s="54">
        <v>17</v>
      </c>
      <c r="C33" s="59" t="s">
        <v>46</v>
      </c>
      <c r="D33" s="81"/>
      <c r="E33" s="63"/>
      <c r="F33" s="68"/>
      <c r="G33" s="68"/>
      <c r="H33" s="64"/>
      <c r="J33" s="80"/>
      <c r="K33" s="72">
        <v>1100.99</v>
      </c>
      <c r="M33" s="50"/>
      <c r="N33" s="51"/>
      <c r="P33" s="50"/>
      <c r="Q33" s="51"/>
      <c r="R33" s="6"/>
      <c r="S33" s="44"/>
      <c r="T33" s="44"/>
      <c r="U33" s="23"/>
    </row>
    <row r="34" spans="1:21" ht="69.75" customHeight="1">
      <c r="A34" s="3">
        <v>20311.57</v>
      </c>
      <c r="B34" s="54">
        <v>18</v>
      </c>
      <c r="C34" s="59" t="s">
        <v>47</v>
      </c>
      <c r="D34" s="81"/>
      <c r="E34" s="63"/>
      <c r="F34" s="68"/>
      <c r="G34" s="68"/>
      <c r="H34" s="64"/>
      <c r="J34" s="80"/>
      <c r="K34" s="72">
        <v>20311.57</v>
      </c>
      <c r="M34" s="50"/>
      <c r="N34" s="51"/>
      <c r="P34" s="50"/>
      <c r="Q34" s="51"/>
      <c r="R34" s="6"/>
      <c r="S34" s="44"/>
      <c r="T34" s="44"/>
      <c r="U34" s="23"/>
    </row>
    <row r="35" spans="1:21" ht="69.75" customHeight="1">
      <c r="B35" s="54">
        <v>19</v>
      </c>
      <c r="C35" s="59" t="s">
        <v>48</v>
      </c>
      <c r="D35" s="81"/>
      <c r="E35" s="63"/>
      <c r="F35" s="68"/>
      <c r="G35" s="68"/>
      <c r="H35" s="64"/>
      <c r="J35" s="80"/>
      <c r="K35" s="72">
        <v>5186.37</v>
      </c>
      <c r="M35" s="50"/>
      <c r="N35" s="51"/>
      <c r="P35" s="50"/>
      <c r="Q35" s="51"/>
      <c r="R35" s="6"/>
      <c r="S35" s="44"/>
      <c r="T35" s="44"/>
      <c r="U35" s="23"/>
    </row>
    <row r="36" spans="1:21" ht="69.75" customHeight="1">
      <c r="B36" s="54">
        <v>20</v>
      </c>
      <c r="C36" s="59" t="s">
        <v>49</v>
      </c>
      <c r="D36" s="81"/>
      <c r="E36" s="63"/>
      <c r="F36" s="68"/>
      <c r="G36" s="68"/>
      <c r="H36" s="64"/>
      <c r="J36" s="80"/>
      <c r="K36" s="72">
        <v>2526.39</v>
      </c>
      <c r="M36" s="50"/>
      <c r="N36" s="51"/>
      <c r="P36" s="50"/>
      <c r="Q36" s="51"/>
      <c r="R36" s="6"/>
      <c r="S36" s="44"/>
      <c r="T36" s="44"/>
      <c r="U36" s="23"/>
    </row>
    <row r="37" spans="1:21" ht="69.75" customHeight="1">
      <c r="B37" s="54">
        <v>21</v>
      </c>
      <c r="C37" s="59" t="s">
        <v>50</v>
      </c>
      <c r="D37" s="81"/>
      <c r="E37" s="63"/>
      <c r="F37" s="68"/>
      <c r="G37" s="68"/>
      <c r="H37" s="64"/>
      <c r="J37" s="80"/>
      <c r="K37" s="72">
        <v>286208</v>
      </c>
      <c r="M37" s="50"/>
      <c r="N37" s="51"/>
      <c r="P37" s="50"/>
      <c r="Q37" s="51"/>
      <c r="R37" s="6"/>
      <c r="S37" s="44"/>
      <c r="T37" s="44"/>
      <c r="U37" s="23"/>
    </row>
    <row r="38" spans="1:21" ht="30" customHeight="1">
      <c r="H38" s="26">
        <f>SUM(H17:H17)</f>
        <v>0</v>
      </c>
      <c r="I38" s="14"/>
      <c r="J38" s="24"/>
      <c r="K38" s="88">
        <f>SUM(K17:K37)</f>
        <v>1255636.0399999998</v>
      </c>
      <c r="L38" s="14"/>
      <c r="M38" s="24"/>
      <c r="N38" s="83" t="e">
        <f>+N17+#REF!</f>
        <v>#REF!</v>
      </c>
      <c r="O38" s="14"/>
      <c r="P38" s="24"/>
      <c r="Q38" s="83" t="e">
        <f>+Q17+#REF!</f>
        <v>#REF!</v>
      </c>
      <c r="R38" s="14"/>
      <c r="S38" s="45"/>
      <c r="T38" s="46"/>
      <c r="U38" s="23"/>
    </row>
    <row r="39" spans="1:21" s="2" customFormat="1" ht="35.450000000000003" customHeight="1">
      <c r="A39" s="3"/>
      <c r="B39" s="33" t="s">
        <v>51</v>
      </c>
      <c r="C39" s="85" t="s">
        <v>52</v>
      </c>
      <c r="D39" s="86"/>
      <c r="E39" s="86"/>
      <c r="F39" s="86"/>
      <c r="G39" s="86"/>
      <c r="H39" s="87"/>
      <c r="I39" s="6"/>
      <c r="J39" s="25" t="s">
        <v>53</v>
      </c>
      <c r="K39" s="89"/>
      <c r="L39" s="6"/>
      <c r="M39" s="25" t="s">
        <v>53</v>
      </c>
      <c r="N39" s="84"/>
      <c r="O39" s="6"/>
      <c r="P39" s="25" t="s">
        <v>53</v>
      </c>
      <c r="Q39" s="84"/>
      <c r="R39" s="6"/>
      <c r="S39" s="47"/>
      <c r="T39" s="46"/>
      <c r="U39" s="48"/>
    </row>
    <row r="40" spans="1:21" ht="20.100000000000001" customHeight="1">
      <c r="J40" s="13"/>
      <c r="K40" s="6"/>
      <c r="M40" s="13"/>
      <c r="N40" s="6"/>
      <c r="P40" s="13"/>
      <c r="Q40" s="6"/>
      <c r="S40" s="20"/>
      <c r="T40" s="20"/>
      <c r="U40" s="23"/>
    </row>
    <row r="41" spans="1:21" ht="53.25" customHeight="1">
      <c r="J41" s="13"/>
      <c r="K41" s="6"/>
      <c r="M41" s="13"/>
      <c r="N41" s="6"/>
      <c r="P41" s="13"/>
      <c r="Q41" s="6"/>
      <c r="S41" s="20"/>
      <c r="T41" s="20"/>
      <c r="U41" s="23"/>
    </row>
    <row r="42" spans="1:21" ht="20.100000000000001" customHeight="1">
      <c r="J42" s="13"/>
      <c r="K42" s="6"/>
      <c r="M42" s="13"/>
      <c r="N42" s="6"/>
      <c r="P42" s="13"/>
      <c r="Q42" s="6"/>
    </row>
    <row r="43" spans="1:21" ht="20.100000000000001" customHeight="1">
      <c r="J43" s="13"/>
      <c r="K43" s="6"/>
      <c r="M43" s="13"/>
      <c r="N43" s="6"/>
      <c r="P43" s="13"/>
      <c r="Q43" s="6"/>
    </row>
    <row r="44" spans="1:21" ht="20.100000000000001" customHeight="1">
      <c r="J44" s="13"/>
      <c r="K44" s="6"/>
      <c r="M44" s="13"/>
      <c r="N44" s="6"/>
      <c r="P44" s="13"/>
      <c r="Q44" s="6"/>
    </row>
    <row r="45" spans="1:21" ht="20.100000000000001" customHeight="1">
      <c r="J45" s="13"/>
      <c r="K45" s="6"/>
      <c r="M45" s="13"/>
      <c r="N45" s="6"/>
      <c r="P45" s="13"/>
      <c r="Q45" s="6"/>
    </row>
    <row r="46" spans="1:21" ht="20.100000000000001" customHeight="1">
      <c r="J46" s="13"/>
      <c r="K46" s="6"/>
      <c r="M46" s="13"/>
      <c r="N46" s="6"/>
      <c r="P46" s="13"/>
      <c r="Q46" s="6"/>
    </row>
    <row r="47" spans="1:21" ht="20.100000000000001" customHeight="1">
      <c r="J47" s="13"/>
      <c r="K47" s="6"/>
      <c r="M47" s="13"/>
      <c r="N47" s="6"/>
      <c r="P47" s="13"/>
      <c r="Q47" s="6"/>
    </row>
    <row r="48" spans="1:21" ht="20.100000000000001" customHeight="1">
      <c r="J48" s="13"/>
      <c r="K48" s="6"/>
      <c r="M48" s="13"/>
      <c r="N48" s="6"/>
      <c r="P48" s="13"/>
      <c r="Q48" s="6"/>
    </row>
    <row r="49" spans="3:17" ht="20.100000000000001" customHeight="1">
      <c r="J49" s="13"/>
      <c r="K49" s="6"/>
      <c r="M49" s="13"/>
      <c r="N49" s="6"/>
      <c r="P49" s="13"/>
      <c r="Q49" s="6"/>
    </row>
    <row r="50" spans="3:17" ht="20.100000000000001" customHeight="1">
      <c r="J50" s="13"/>
      <c r="K50" s="6"/>
      <c r="M50" s="13"/>
      <c r="N50" s="6"/>
      <c r="P50" s="13"/>
      <c r="Q50" s="6"/>
    </row>
    <row r="51" spans="3:17" ht="20.100000000000001" customHeight="1">
      <c r="J51" s="13"/>
      <c r="K51" s="6"/>
      <c r="M51" s="13"/>
      <c r="N51" s="6"/>
      <c r="P51" s="13"/>
      <c r="Q51" s="6"/>
    </row>
    <row r="52" spans="3:17" ht="20.100000000000001" customHeight="1">
      <c r="J52" s="13"/>
      <c r="K52" s="6"/>
      <c r="M52" s="13"/>
      <c r="N52" s="6"/>
      <c r="P52" s="13"/>
      <c r="Q52" s="6"/>
    </row>
    <row r="53" spans="3:17" ht="20.100000000000001" customHeight="1">
      <c r="J53" s="13"/>
      <c r="K53" s="6"/>
      <c r="M53" s="13"/>
      <c r="N53" s="6"/>
      <c r="P53" s="13"/>
      <c r="Q53" s="6"/>
    </row>
    <row r="54" spans="3:17" ht="20.100000000000001" customHeight="1">
      <c r="J54" s="13"/>
      <c r="K54" s="6"/>
      <c r="M54" s="13"/>
      <c r="N54" s="6"/>
      <c r="P54" s="13"/>
      <c r="Q54" s="6"/>
    </row>
    <row r="55" spans="3:17" ht="20.100000000000001" customHeight="1">
      <c r="J55" s="13"/>
      <c r="K55" s="6"/>
      <c r="M55" s="13"/>
      <c r="N55" s="6"/>
      <c r="P55" s="13"/>
      <c r="Q55" s="6"/>
    </row>
    <row r="56" spans="3:17" ht="20.100000000000001" customHeight="1">
      <c r="J56" s="13"/>
      <c r="K56" s="6"/>
      <c r="M56" s="13"/>
      <c r="N56" s="6"/>
      <c r="P56" s="13"/>
      <c r="Q56" s="6"/>
    </row>
    <row r="57" spans="3:17" ht="20.100000000000001" customHeight="1">
      <c r="C57" s="3"/>
      <c r="F57" s="3"/>
      <c r="H57" s="3"/>
      <c r="J57" s="13"/>
      <c r="K57" s="6"/>
      <c r="M57" s="13"/>
      <c r="N57" s="6"/>
      <c r="P57" s="13"/>
      <c r="Q57" s="6"/>
    </row>
    <row r="58" spans="3:17" ht="20.100000000000001" customHeight="1">
      <c r="J58" s="13"/>
      <c r="K58" s="6"/>
      <c r="M58" s="13"/>
      <c r="N58" s="6"/>
      <c r="P58" s="13"/>
      <c r="Q58" s="6"/>
    </row>
  </sheetData>
  <mergeCells count="36">
    <mergeCell ref="A2:T4"/>
    <mergeCell ref="J6:K6"/>
    <mergeCell ref="K14:K15"/>
    <mergeCell ref="M6:N6"/>
    <mergeCell ref="P6:Q6"/>
    <mergeCell ref="S6:T6"/>
    <mergeCell ref="N14:N15"/>
    <mergeCell ref="S14:S15"/>
    <mergeCell ref="T14:T15"/>
    <mergeCell ref="S13:T13"/>
    <mergeCell ref="F9:G9"/>
    <mergeCell ref="Q14:Q15"/>
    <mergeCell ref="B12:H12"/>
    <mergeCell ref="C8:E9"/>
    <mergeCell ref="F8:G8"/>
    <mergeCell ref="N38:N39"/>
    <mergeCell ref="G13:G15"/>
    <mergeCell ref="H13:H15"/>
    <mergeCell ref="B13:B15"/>
    <mergeCell ref="C13:C15"/>
    <mergeCell ref="Q38:Q39"/>
    <mergeCell ref="C39:H39"/>
    <mergeCell ref="K38:K39"/>
    <mergeCell ref="B8:B9"/>
    <mergeCell ref="C10:E11"/>
    <mergeCell ref="P13:Q13"/>
    <mergeCell ref="M14:M15"/>
    <mergeCell ref="P14:P15"/>
    <mergeCell ref="B10:B11"/>
    <mergeCell ref="J13:K13"/>
    <mergeCell ref="F10:H11"/>
    <mergeCell ref="J14:J15"/>
    <mergeCell ref="D13:D15"/>
    <mergeCell ref="E13:E15"/>
    <mergeCell ref="F13:F15"/>
    <mergeCell ref="M13:N13"/>
  </mergeCells>
  <phoneticPr fontId="0" type="noConversion"/>
  <hyperlinks>
    <hyperlink ref="K11" r:id="rId1" xr:uid="{83701E5F-F8CE-4520-8152-AC36AFB5DC14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Height="0" orientation="landscape" horizontalDpi="4294967293" r:id="rId2"/>
  <headerFooter alignWithMargins="0">
    <oddFooter>&amp;L&amp;"Arial,Negrito"Construtora Tempo Confidencial&amp;RPágina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Usuário Convidado</cp:lastModifiedBy>
  <cp:revision/>
  <dcterms:created xsi:type="dcterms:W3CDTF">2006-01-20T16:15:51Z</dcterms:created>
  <dcterms:modified xsi:type="dcterms:W3CDTF">2026-04-19T04:25:33Z</dcterms:modified>
  <cp:category/>
  <cp:contentStatus/>
</cp:coreProperties>
</file>