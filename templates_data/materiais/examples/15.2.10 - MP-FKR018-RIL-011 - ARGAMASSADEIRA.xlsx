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06"/>
  <workbookPr codeName="EstaPasta_de_trabalho"/>
  <mc:AlternateContent xmlns:mc="http://schemas.openxmlformats.org/markup-compatibility/2006">
    <mc:Choice Requires="x15">
      <x15ac:absPath xmlns:x15ac="http://schemas.microsoft.com/office/spreadsheetml/2010/11/ac" url="D:\ESTEVÃO E LEONARDO\ARQUIVOS GABI\PLANILHAS\"/>
    </mc:Choice>
  </mc:AlternateContent>
  <xr:revisionPtr revIDLastSave="703" documentId="13_ncr:1_{5F56E237-6F85-4BA0-959A-CB6F98F9809C}" xr6:coauthVersionLast="47" xr6:coauthVersionMax="47" xr10:uidLastSave="{C103C176-57C9-459D-B164-373EB366B532}"/>
  <bookViews>
    <workbookView xWindow="-108" yWindow="-108" windowWidth="23256" windowHeight="12576" xr2:uid="{00000000-000D-0000-FFFF-FFFF00000000}"/>
  </bookViews>
  <sheets>
    <sheet name="MP" sheetId="53" r:id="rId1"/>
  </sheets>
  <definedNames>
    <definedName name="_xlnm.Print_Area" localSheetId="0">MP!$B$2:$Q$21</definedName>
    <definedName name="_xlnm.Print_Titles" localSheetId="0">MP!$2:$16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18" i="53" l="1"/>
  <c r="Q17" i="53"/>
  <c r="N17" i="53"/>
  <c r="N20" i="53" s="1"/>
  <c r="K17" i="53"/>
  <c r="K20" i="53" s="1"/>
  <c r="H9" i="53"/>
  <c r="H20" i="53"/>
</calcChain>
</file>

<file path=xl/sharedStrings.xml><?xml version="1.0" encoding="utf-8"?>
<sst xmlns="http://schemas.openxmlformats.org/spreadsheetml/2006/main" count="68" uniqueCount="43">
  <si>
    <t>MAPA DE CONCORRÊNCIA</t>
  </si>
  <si>
    <t>FORNECEDOR 1</t>
  </si>
  <si>
    <t>FORNECEDOR 2</t>
  </si>
  <si>
    <t>FORNECEDOR 3</t>
  </si>
  <si>
    <t>OBRA:</t>
  </si>
  <si>
    <t>OBRA RIL - RESIDENCIA ISABELA E LUIZ RENNO</t>
  </si>
  <si>
    <t>N.º :</t>
  </si>
  <si>
    <t>11</t>
  </si>
  <si>
    <t>NOME</t>
  </si>
  <si>
    <t>BOTUVERÁ LOCAÇÕES LTDA</t>
  </si>
  <si>
    <t xml:space="preserve">CENTRAL LOC </t>
  </si>
  <si>
    <t xml:space="preserve">FASSA BORTOLO </t>
  </si>
  <si>
    <t>DATA :</t>
  </si>
  <si>
    <t>CONTATO</t>
  </si>
  <si>
    <t>Bernardo Carvalho</t>
  </si>
  <si>
    <t>ASSU.:</t>
  </si>
  <si>
    <t xml:space="preserve">LOCAÇÃO  DE ARGAMASSADEIRA	</t>
  </si>
  <si>
    <t>TELEFONE</t>
  </si>
  <si>
    <t>(31) 98245-8744</t>
  </si>
  <si>
    <t>(31) 3351-7604</t>
  </si>
  <si>
    <t>(31) 97211-0769</t>
  </si>
  <si>
    <t>EMAIL</t>
  </si>
  <si>
    <t>botuveralocacoes.adm@gmail.com</t>
  </si>
  <si>
    <t>bernardo.carvalho@fassabortolo.com.br</t>
  </si>
  <si>
    <t>ITEM</t>
  </si>
  <si>
    <t>DESCRIÇÃO DO SERVIÇO E/OU RECURSO</t>
  </si>
  <si>
    <t>QUANT.</t>
  </si>
  <si>
    <t>UNID.</t>
  </si>
  <si>
    <t>COD.
ITEM / INSU.</t>
  </si>
  <si>
    <t>VALOR UNIT.</t>
  </si>
  <si>
    <t>SALDO TOTAL (R$)</t>
  </si>
  <si>
    <t>PREÇOS</t>
  </si>
  <si>
    <t>VALOR TOTAL</t>
  </si>
  <si>
    <t>VALOR INICIAL</t>
  </si>
  <si>
    <t>MENSAL: ARGAMASSADEIRA ANVI 120L</t>
  </si>
  <si>
    <t>VB</t>
  </si>
  <si>
    <t>PAINEL ELETRICO MOTO R2 E3 CV BAIXA ROTAÇÃOBETONEIRA E
ARGAMASSADEIRA</t>
  </si>
  <si>
    <t>_</t>
  </si>
  <si>
    <t xml:space="preserve">FRETE </t>
  </si>
  <si>
    <t>SALDO</t>
  </si>
  <si>
    <t>ENDEREÇO OBRA:</t>
  </si>
  <si>
    <t>Rua Mares de Montanha, nº 2620, Vale dos Cristais - Cidade: Nova Lima - MG.</t>
  </si>
  <si>
    <t xml:space="preserve">SALDO COM DESCONTO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</si>
</sst>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&quot;R$ &quot;#,##0.00_);[Red]\(&quot;R$ &quot;#,##0.00\)"/>
  </numFmts>
  <fonts count="12">
    <font>
      <sz val="10"/>
      <name val="Arial"/>
    </font>
    <font>
      <b/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Franklin Gothic Medium"/>
      <family val="2"/>
    </font>
    <font>
      <sz val="16"/>
      <name val="Franklin Gothic Medium"/>
      <family val="2"/>
    </font>
    <font>
      <sz val="12"/>
      <name val="Franklin Gothic Medium"/>
      <family val="2"/>
    </font>
    <font>
      <b/>
      <i/>
      <sz val="28"/>
      <color theme="0"/>
      <name val="Franklin Gothic Medium"/>
      <family val="2"/>
    </font>
    <font>
      <sz val="14"/>
      <name val="Franklin Gothic Medium"/>
      <family val="2"/>
    </font>
    <font>
      <u/>
      <sz val="10"/>
      <color theme="10"/>
      <name val="Arial"/>
    </font>
    <font>
      <b/>
      <i/>
      <sz val="28"/>
      <color rgb="FF000000"/>
      <name val="Franklin Gothic Medium"/>
    </font>
    <font>
      <sz val="12"/>
      <color rgb="FF000000"/>
      <name val="Franklin Gothic Medium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A2B298"/>
        <bgColor indexed="64"/>
      </patternFill>
    </fill>
    <fill>
      <patternFill patternType="solid">
        <fgColor rgb="FFE4EFDB"/>
        <bgColor indexed="64"/>
      </patternFill>
    </fill>
    <fill>
      <patternFill patternType="solid">
        <fgColor theme="0" tint="-0.14999847407452621"/>
        <bgColor indexed="64"/>
      </patternFill>
    </fill>
  </fills>
  <borders count="71">
    <border>
      <left/>
      <right/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medium">
        <color indexed="64"/>
      </left>
      <right style="thin">
        <color indexed="64"/>
      </right>
      <top/>
      <bottom style="thin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indexed="64"/>
      </left>
      <right style="medium">
        <color indexed="64"/>
      </right>
      <top style="thin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medium">
        <color rgb="FF000000"/>
      </bottom>
      <diagonal/>
    </border>
    <border>
      <left style="medium">
        <color indexed="64"/>
      </left>
      <right style="thin">
        <color indexed="64"/>
      </right>
      <top style="thin">
        <color rgb="FF000000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thin">
        <color indexed="64"/>
      </left>
      <right style="medium">
        <color indexed="64"/>
      </right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 style="thin">
        <color rgb="FF000000"/>
      </top>
      <bottom style="medium">
        <color rgb="FF000000"/>
      </bottom>
      <diagonal/>
    </border>
  </borders>
  <cellStyleXfs count="3">
    <xf numFmtId="0" fontId="0" fillId="0" borderId="0"/>
    <xf numFmtId="43" fontId="3" fillId="0" borderId="0" applyFont="0" applyFill="0" applyBorder="0" applyAlignment="0" applyProtection="0"/>
    <xf numFmtId="0" fontId="9" fillId="0" borderId="0" applyNumberFormat="0" applyFill="0" applyBorder="0" applyAlignment="0" applyProtection="0"/>
  </cellStyleXfs>
  <cellXfs count="144">
    <xf numFmtId="0" fontId="0" fillId="0" borderId="0" xfId="0"/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center"/>
    </xf>
    <xf numFmtId="1" fontId="4" fillId="0" borderId="0" xfId="0" applyNumberFormat="1" applyFont="1" applyAlignment="1">
      <alignment horizontal="center" vertical="center"/>
    </xf>
    <xf numFmtId="4" fontId="4" fillId="0" borderId="0" xfId="0" applyNumberFormat="1" applyFont="1" applyAlignment="1">
      <alignment horizontal="center" vertical="center"/>
    </xf>
    <xf numFmtId="4" fontId="4" fillId="0" borderId="0" xfId="0" applyNumberFormat="1" applyFont="1" applyAlignment="1">
      <alignment horizontal="center" vertical="center" wrapText="1"/>
    </xf>
    <xf numFmtId="0" fontId="4" fillId="0" borderId="33" xfId="0" applyFont="1" applyBorder="1" applyAlignment="1">
      <alignment horizontal="center" vertical="center"/>
    </xf>
    <xf numFmtId="0" fontId="4" fillId="0" borderId="34" xfId="0" applyFont="1" applyBorder="1" applyAlignment="1">
      <alignment horizontal="left" vertical="center"/>
    </xf>
    <xf numFmtId="0" fontId="4" fillId="0" borderId="34" xfId="0" applyFont="1" applyBorder="1" applyAlignment="1">
      <alignment horizontal="center" vertical="center"/>
    </xf>
    <xf numFmtId="1" fontId="4" fillId="0" borderId="34" xfId="0" applyNumberFormat="1" applyFont="1" applyBorder="1" applyAlignment="1">
      <alignment horizontal="center" vertical="center"/>
    </xf>
    <xf numFmtId="4" fontId="4" fillId="0" borderId="35" xfId="0" applyNumberFormat="1" applyFont="1" applyBorder="1" applyAlignment="1">
      <alignment horizontal="center" vertical="center"/>
    </xf>
    <xf numFmtId="4" fontId="4" fillId="2" borderId="0" xfId="0" applyNumberFormat="1" applyFont="1" applyFill="1" applyAlignment="1">
      <alignment horizontal="center" vertical="center"/>
    </xf>
    <xf numFmtId="4" fontId="4" fillId="0" borderId="0" xfId="0" applyNumberFormat="1" applyFont="1" applyAlignment="1">
      <alignment horizontal="left" vertical="center"/>
    </xf>
    <xf numFmtId="164" fontId="4" fillId="0" borderId="0" xfId="0" applyNumberFormat="1" applyFont="1" applyAlignment="1">
      <alignment horizontal="center" vertical="center"/>
    </xf>
    <xf numFmtId="0" fontId="8" fillId="5" borderId="37" xfId="0" applyFont="1" applyFill="1" applyBorder="1" applyAlignment="1">
      <alignment horizontal="left" vertical="center"/>
    </xf>
    <xf numFmtId="0" fontId="8" fillId="5" borderId="40" xfId="0" applyFont="1" applyFill="1" applyBorder="1" applyAlignment="1">
      <alignment horizontal="left" vertical="center"/>
    </xf>
    <xf numFmtId="0" fontId="8" fillId="5" borderId="42" xfId="0" applyFont="1" applyFill="1" applyBorder="1" applyAlignment="1">
      <alignment horizontal="left" vertical="center"/>
    </xf>
    <xf numFmtId="49" fontId="8" fillId="5" borderId="3" xfId="0" applyNumberFormat="1" applyFont="1" applyFill="1" applyBorder="1" applyAlignment="1" applyProtection="1">
      <alignment horizontal="center" vertical="center"/>
      <protection locked="0"/>
    </xf>
    <xf numFmtId="14" fontId="8" fillId="5" borderId="4" xfId="0" applyNumberFormat="1" applyFont="1" applyFill="1" applyBorder="1" applyAlignment="1" applyProtection="1">
      <alignment horizontal="center" vertical="center"/>
      <protection locked="0"/>
    </xf>
    <xf numFmtId="0" fontId="4" fillId="2" borderId="0" xfId="0" applyFont="1" applyFill="1" applyAlignment="1">
      <alignment horizontal="center" vertical="center"/>
    </xf>
    <xf numFmtId="0" fontId="7" fillId="2" borderId="31" xfId="0" applyFont="1" applyFill="1" applyBorder="1" applyAlignment="1">
      <alignment horizontal="center" vertical="center"/>
    </xf>
    <xf numFmtId="0" fontId="7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4" fontId="8" fillId="5" borderId="47" xfId="0" applyNumberFormat="1" applyFont="1" applyFill="1" applyBorder="1" applyAlignment="1">
      <alignment horizontal="left" vertical="center"/>
    </xf>
    <xf numFmtId="0" fontId="8" fillId="5" borderId="1" xfId="0" applyFont="1" applyFill="1" applyBorder="1" applyAlignment="1">
      <alignment horizontal="center" vertical="center"/>
    </xf>
    <xf numFmtId="164" fontId="8" fillId="3" borderId="2" xfId="0" applyNumberFormat="1" applyFont="1" applyFill="1" applyBorder="1" applyAlignment="1">
      <alignment horizontal="center" vertical="center"/>
    </xf>
    <xf numFmtId="0" fontId="4" fillId="4" borderId="33" xfId="0" applyFont="1" applyFill="1" applyBorder="1" applyAlignment="1">
      <alignment horizontal="center" vertical="center"/>
    </xf>
    <xf numFmtId="0" fontId="4" fillId="4" borderId="34" xfId="0" applyFont="1" applyFill="1" applyBorder="1" applyAlignment="1">
      <alignment horizontal="left" vertical="center"/>
    </xf>
    <xf numFmtId="0" fontId="4" fillId="4" borderId="34" xfId="0" applyFont="1" applyFill="1" applyBorder="1" applyAlignment="1">
      <alignment horizontal="center" vertical="center"/>
    </xf>
    <xf numFmtId="0" fontId="4" fillId="4" borderId="35" xfId="0" applyFont="1" applyFill="1" applyBorder="1" applyAlignment="1">
      <alignment horizontal="center" vertical="center"/>
    </xf>
    <xf numFmtId="0" fontId="6" fillId="2" borderId="37" xfId="0" quotePrefix="1" applyFont="1" applyFill="1" applyBorder="1" applyAlignment="1">
      <alignment horizontal="center" vertical="center"/>
    </xf>
    <xf numFmtId="1" fontId="6" fillId="2" borderId="38" xfId="0" applyNumberFormat="1" applyFont="1" applyFill="1" applyBorder="1" applyAlignment="1" applyProtection="1">
      <alignment horizontal="center" vertical="center"/>
      <protection locked="0"/>
    </xf>
    <xf numFmtId="4" fontId="6" fillId="2" borderId="38" xfId="0" applyNumberFormat="1" applyFont="1" applyFill="1" applyBorder="1" applyAlignment="1" applyProtection="1">
      <alignment horizontal="center" vertical="center"/>
      <protection locked="0"/>
    </xf>
    <xf numFmtId="40" fontId="6" fillId="2" borderId="39" xfId="0" applyNumberFormat="1" applyFont="1" applyFill="1" applyBorder="1" applyAlignment="1">
      <alignment horizontal="center" vertical="center"/>
    </xf>
    <xf numFmtId="0" fontId="6" fillId="0" borderId="39" xfId="0" applyFont="1" applyBorder="1" applyAlignment="1" applyProtection="1">
      <alignment horizontal="left" vertical="center"/>
      <protection locked="0"/>
    </xf>
    <xf numFmtId="0" fontId="6" fillId="0" borderId="41" xfId="0" applyFont="1" applyBorder="1" applyAlignment="1" applyProtection="1">
      <alignment horizontal="left" vertical="center"/>
      <protection locked="0"/>
    </xf>
    <xf numFmtId="0" fontId="8" fillId="5" borderId="33" xfId="0" applyFont="1" applyFill="1" applyBorder="1" applyAlignment="1">
      <alignment horizontal="center" vertical="center" wrapText="1"/>
    </xf>
    <xf numFmtId="0" fontId="6" fillId="0" borderId="41" xfId="0" applyFont="1" applyBorder="1" applyAlignment="1" applyProtection="1">
      <alignment vertical="center"/>
      <protection locked="0"/>
    </xf>
    <xf numFmtId="0" fontId="9" fillId="0" borderId="41" xfId="2" applyBorder="1" applyAlignment="1" applyProtection="1">
      <alignment horizontal="left" vertical="center"/>
      <protection locked="0"/>
    </xf>
    <xf numFmtId="0" fontId="9" fillId="0" borderId="43" xfId="2" applyBorder="1" applyAlignment="1" applyProtection="1">
      <alignment horizontal="left" vertical="center"/>
      <protection locked="0"/>
    </xf>
    <xf numFmtId="0" fontId="11" fillId="2" borderId="36" xfId="0" applyFont="1" applyFill="1" applyBorder="1" applyAlignment="1" applyProtection="1">
      <alignment horizontal="left" vertical="center" wrapText="1"/>
      <protection locked="0"/>
    </xf>
    <xf numFmtId="2" fontId="6" fillId="2" borderId="50" xfId="1" applyNumberFormat="1" applyFont="1" applyFill="1" applyBorder="1" applyAlignment="1">
      <alignment horizontal="center" vertical="center" wrapText="1" shrinkToFit="1"/>
    </xf>
    <xf numFmtId="0" fontId="6" fillId="2" borderId="50" xfId="0" applyFont="1" applyFill="1" applyBorder="1" applyAlignment="1" applyProtection="1">
      <alignment horizontal="center" vertical="center"/>
      <protection locked="0"/>
    </xf>
    <xf numFmtId="0" fontId="8" fillId="2" borderId="0" xfId="0" applyFont="1" applyFill="1" applyAlignment="1">
      <alignment horizontal="left" vertical="center"/>
    </xf>
    <xf numFmtId="0" fontId="6" fillId="2" borderId="0" xfId="0" applyFont="1" applyFill="1" applyAlignment="1" applyProtection="1">
      <alignment horizontal="left" vertical="center"/>
      <protection locked="0"/>
    </xf>
    <xf numFmtId="0" fontId="4" fillId="2" borderId="0" xfId="0" applyFont="1" applyFill="1" applyAlignment="1">
      <alignment horizontal="left" vertical="center"/>
    </xf>
    <xf numFmtId="4" fontId="4" fillId="2" borderId="0" xfId="0" applyNumberFormat="1" applyFont="1" applyFill="1" applyAlignment="1" applyProtection="1">
      <alignment horizontal="center" vertical="center"/>
      <protection locked="0"/>
    </xf>
    <xf numFmtId="40" fontId="4" fillId="2" borderId="0" xfId="0" applyNumberFormat="1" applyFont="1" applyFill="1" applyAlignment="1">
      <alignment horizontal="center" vertical="center"/>
    </xf>
    <xf numFmtId="40" fontId="4" fillId="2" borderId="0" xfId="0" applyNumberFormat="1" applyFont="1" applyFill="1" applyAlignment="1">
      <alignment horizontal="center" vertical="center" wrapText="1"/>
    </xf>
    <xf numFmtId="4" fontId="8" fillId="2" borderId="0" xfId="0" applyNumberFormat="1" applyFont="1" applyFill="1" applyAlignment="1">
      <alignment horizontal="left" vertical="center"/>
    </xf>
    <xf numFmtId="164" fontId="5" fillId="2" borderId="0" xfId="0" applyNumberFormat="1" applyFont="1" applyFill="1" applyAlignment="1">
      <alignment horizontal="center" vertical="center"/>
    </xf>
    <xf numFmtId="0" fontId="8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9" fillId="0" borderId="43" xfId="2" applyBorder="1" applyAlignment="1" applyProtection="1">
      <alignment horizontal="left" vertical="center" wrapText="1"/>
      <protection locked="0"/>
    </xf>
    <xf numFmtId="4" fontId="6" fillId="2" borderId="59" xfId="0" applyNumberFormat="1" applyFont="1" applyFill="1" applyBorder="1" applyAlignment="1" applyProtection="1">
      <alignment horizontal="center" vertical="center"/>
      <protection locked="0"/>
    </xf>
    <xf numFmtId="0" fontId="11" fillId="2" borderId="60" xfId="0" applyFont="1" applyFill="1" applyBorder="1" applyAlignment="1" applyProtection="1">
      <alignment horizontal="left" vertical="center" wrapText="1"/>
      <protection locked="0"/>
    </xf>
    <xf numFmtId="2" fontId="6" fillId="2" borderId="18" xfId="1" applyNumberFormat="1" applyFont="1" applyFill="1" applyBorder="1" applyAlignment="1">
      <alignment horizontal="center" vertical="center" wrapText="1" shrinkToFit="1"/>
    </xf>
    <xf numFmtId="0" fontId="6" fillId="2" borderId="18" xfId="0" applyFont="1" applyFill="1" applyBorder="1" applyAlignment="1" applyProtection="1">
      <alignment horizontal="center" vertical="center"/>
      <protection locked="0"/>
    </xf>
    <xf numFmtId="4" fontId="6" fillId="0" borderId="24" xfId="0" applyNumberFormat="1" applyFont="1" applyBorder="1" applyAlignment="1" applyProtection="1">
      <alignment horizontal="center" vertical="center"/>
      <protection locked="0"/>
    </xf>
    <xf numFmtId="4" fontId="6" fillId="0" borderId="61" xfId="0" applyNumberFormat="1" applyFont="1" applyBorder="1" applyAlignment="1" applyProtection="1">
      <alignment horizontal="center" vertical="center"/>
      <protection locked="0"/>
    </xf>
    <xf numFmtId="1" fontId="6" fillId="0" borderId="61" xfId="0" applyNumberFormat="1" applyFont="1" applyBorder="1" applyAlignment="1" applyProtection="1">
      <alignment vertical="center"/>
      <protection locked="0"/>
    </xf>
    <xf numFmtId="0" fontId="6" fillId="2" borderId="62" xfId="0" quotePrefix="1" applyFont="1" applyFill="1" applyBorder="1" applyAlignment="1">
      <alignment horizontal="center" vertical="center"/>
    </xf>
    <xf numFmtId="0" fontId="6" fillId="2" borderId="56" xfId="0" quotePrefix="1" applyFont="1" applyFill="1" applyBorder="1" applyAlignment="1">
      <alignment horizontal="center" vertical="center"/>
    </xf>
    <xf numFmtId="0" fontId="6" fillId="2" borderId="63" xfId="0" quotePrefix="1" applyFont="1" applyFill="1" applyBorder="1" applyAlignment="1">
      <alignment horizontal="center" vertical="center"/>
    </xf>
    <xf numFmtId="4" fontId="6" fillId="0" borderId="64" xfId="0" applyNumberFormat="1" applyFont="1" applyBorder="1" applyAlignment="1" applyProtection="1">
      <alignment horizontal="center" vertical="center"/>
      <protection locked="0"/>
    </xf>
    <xf numFmtId="0" fontId="11" fillId="2" borderId="65" xfId="0" applyFont="1" applyFill="1" applyBorder="1" applyAlignment="1" applyProtection="1">
      <alignment horizontal="left" vertical="center" wrapText="1"/>
      <protection locked="0"/>
    </xf>
    <xf numFmtId="2" fontId="6" fillId="2" borderId="65" xfId="1" applyNumberFormat="1" applyFont="1" applyFill="1" applyBorder="1" applyAlignment="1">
      <alignment horizontal="center" vertical="center" wrapText="1" shrinkToFit="1"/>
    </xf>
    <xf numFmtId="0" fontId="6" fillId="2" borderId="65" xfId="0" applyFont="1" applyFill="1" applyBorder="1" applyAlignment="1" applyProtection="1">
      <alignment horizontal="center" vertical="center"/>
      <protection locked="0"/>
    </xf>
    <xf numFmtId="4" fontId="6" fillId="2" borderId="66" xfId="0" applyNumberFormat="1" applyFont="1" applyFill="1" applyBorder="1" applyAlignment="1" applyProtection="1">
      <alignment horizontal="center" vertical="center"/>
      <protection locked="0"/>
    </xf>
    <xf numFmtId="4" fontId="6" fillId="2" borderId="21" xfId="0" applyNumberFormat="1" applyFont="1" applyFill="1" applyBorder="1" applyAlignment="1" applyProtection="1">
      <alignment horizontal="center" vertical="center"/>
      <protection locked="0"/>
    </xf>
    <xf numFmtId="4" fontId="6" fillId="2" borderId="21" xfId="0" quotePrefix="1" applyNumberFormat="1" applyFont="1" applyFill="1" applyBorder="1" applyAlignment="1" applyProtection="1">
      <alignment horizontal="center" vertical="center"/>
      <protection locked="0"/>
    </xf>
    <xf numFmtId="40" fontId="6" fillId="2" borderId="25" xfId="0" applyNumberFormat="1" applyFont="1" applyFill="1" applyBorder="1" applyAlignment="1">
      <alignment vertical="center"/>
    </xf>
    <xf numFmtId="40" fontId="6" fillId="2" borderId="67" xfId="0" applyNumberFormat="1" applyFont="1" applyFill="1" applyBorder="1" applyAlignment="1">
      <alignment vertical="center"/>
    </xf>
    <xf numFmtId="40" fontId="6" fillId="2" borderId="68" xfId="0" applyNumberFormat="1" applyFont="1" applyFill="1" applyBorder="1" applyAlignment="1">
      <alignment vertical="center"/>
    </xf>
    <xf numFmtId="40" fontId="6" fillId="2" borderId="68" xfId="0" applyNumberFormat="1" applyFont="1" applyFill="1" applyBorder="1" applyAlignment="1">
      <alignment horizontal="center" vertical="center"/>
    </xf>
    <xf numFmtId="40" fontId="6" fillId="2" borderId="25" xfId="0" applyNumberFormat="1" applyFont="1" applyFill="1" applyBorder="1" applyAlignment="1">
      <alignment horizontal="center" vertical="center"/>
    </xf>
    <xf numFmtId="0" fontId="8" fillId="5" borderId="47" xfId="0" applyFont="1" applyFill="1" applyBorder="1" applyAlignment="1">
      <alignment vertical="center"/>
    </xf>
    <xf numFmtId="164" fontId="8" fillId="3" borderId="47" xfId="0" applyNumberFormat="1" applyFont="1" applyFill="1" applyBorder="1" applyAlignment="1">
      <alignment vertical="center"/>
    </xf>
    <xf numFmtId="0" fontId="8" fillId="5" borderId="69" xfId="0" applyFont="1" applyFill="1" applyBorder="1" applyAlignment="1">
      <alignment vertical="center"/>
    </xf>
    <xf numFmtId="164" fontId="8" fillId="3" borderId="70" xfId="0" applyNumberFormat="1" applyFont="1" applyFill="1" applyBorder="1" applyAlignment="1">
      <alignment vertical="center"/>
    </xf>
    <xf numFmtId="0" fontId="8" fillId="4" borderId="44" xfId="0" applyFont="1" applyFill="1" applyBorder="1" applyAlignment="1">
      <alignment horizontal="center" vertical="center" wrapText="1"/>
    </xf>
    <xf numFmtId="0" fontId="8" fillId="4" borderId="21" xfId="0" applyFont="1" applyFill="1" applyBorder="1" applyAlignment="1">
      <alignment horizontal="center" vertical="center" wrapText="1"/>
    </xf>
    <xf numFmtId="0" fontId="8" fillId="4" borderId="22" xfId="0" applyFont="1" applyFill="1" applyBorder="1" applyAlignment="1">
      <alignment horizontal="center" vertical="center" wrapText="1"/>
    </xf>
    <xf numFmtId="0" fontId="8" fillId="4" borderId="45" xfId="0" applyFont="1" applyFill="1" applyBorder="1" applyAlignment="1">
      <alignment horizontal="center" vertical="center" wrapText="1"/>
    </xf>
    <xf numFmtId="0" fontId="8" fillId="4" borderId="18" xfId="0" applyFont="1" applyFill="1" applyBorder="1" applyAlignment="1">
      <alignment horizontal="center" vertical="center" wrapText="1"/>
    </xf>
    <xf numFmtId="0" fontId="8" fillId="4" borderId="19" xfId="0" applyFont="1" applyFill="1" applyBorder="1" applyAlignment="1">
      <alignment horizontal="center" vertical="center" wrapText="1"/>
    </xf>
    <xf numFmtId="0" fontId="10" fillId="2" borderId="51" xfId="0" applyFont="1" applyFill="1" applyBorder="1" applyAlignment="1">
      <alignment horizontal="center" vertical="center"/>
    </xf>
    <xf numFmtId="0" fontId="10" fillId="2" borderId="52" xfId="0" applyFont="1" applyFill="1" applyBorder="1" applyAlignment="1">
      <alignment horizontal="center" vertical="center"/>
    </xf>
    <xf numFmtId="0" fontId="10" fillId="2" borderId="53" xfId="0" applyFont="1" applyFill="1" applyBorder="1" applyAlignment="1">
      <alignment horizontal="center" vertical="center"/>
    </xf>
    <xf numFmtId="0" fontId="10" fillId="2" borderId="54" xfId="0" applyFont="1" applyFill="1" applyBorder="1" applyAlignment="1">
      <alignment horizontal="center" vertical="center"/>
    </xf>
    <xf numFmtId="0" fontId="10" fillId="2" borderId="0" xfId="0" applyFont="1" applyFill="1" applyAlignment="1">
      <alignment horizontal="center" vertical="center"/>
    </xf>
    <xf numFmtId="0" fontId="10" fillId="2" borderId="55" xfId="0" applyFont="1" applyFill="1" applyBorder="1" applyAlignment="1">
      <alignment horizontal="center" vertical="center"/>
    </xf>
    <xf numFmtId="0" fontId="10" fillId="2" borderId="56" xfId="0" applyFont="1" applyFill="1" applyBorder="1" applyAlignment="1">
      <alignment horizontal="center" vertical="center"/>
    </xf>
    <xf numFmtId="0" fontId="10" fillId="2" borderId="57" xfId="0" applyFont="1" applyFill="1" applyBorder="1" applyAlignment="1">
      <alignment horizontal="center" vertical="center"/>
    </xf>
    <xf numFmtId="0" fontId="10" fillId="2" borderId="58" xfId="0" applyFont="1" applyFill="1" applyBorder="1" applyAlignment="1">
      <alignment horizontal="center" vertical="center"/>
    </xf>
    <xf numFmtId="0" fontId="5" fillId="4" borderId="33" xfId="0" applyFont="1" applyFill="1" applyBorder="1" applyAlignment="1">
      <alignment horizontal="center" vertical="center"/>
    </xf>
    <xf numFmtId="0" fontId="5" fillId="4" borderId="35" xfId="0" applyFont="1" applyFill="1" applyBorder="1" applyAlignment="1">
      <alignment horizontal="center" vertical="center"/>
    </xf>
    <xf numFmtId="0" fontId="8" fillId="4" borderId="24" xfId="0" applyFont="1" applyFill="1" applyBorder="1" applyAlignment="1">
      <alignment horizontal="center" vertical="center" wrapText="1"/>
    </xf>
    <xf numFmtId="0" fontId="8" fillId="4" borderId="25" xfId="0" applyFont="1" applyFill="1" applyBorder="1" applyAlignment="1">
      <alignment horizontal="center" vertical="center" wrapText="1"/>
    </xf>
    <xf numFmtId="0" fontId="5" fillId="2" borderId="0" xfId="0" applyFont="1" applyFill="1" applyAlignment="1">
      <alignment horizontal="center" vertical="center"/>
    </xf>
    <xf numFmtId="0" fontId="8" fillId="2" borderId="0" xfId="0" applyFont="1" applyFill="1" applyAlignment="1">
      <alignment horizontal="center" vertical="center" wrapText="1"/>
    </xf>
    <xf numFmtId="0" fontId="8" fillId="5" borderId="26" xfId="0" applyFont="1" applyFill="1" applyBorder="1" applyAlignment="1">
      <alignment horizontal="right" vertical="center"/>
    </xf>
    <xf numFmtId="0" fontId="8" fillId="5" borderId="27" xfId="0" applyFont="1" applyFill="1" applyBorder="1" applyAlignment="1">
      <alignment horizontal="right" vertical="center"/>
    </xf>
    <xf numFmtId="0" fontId="8" fillId="5" borderId="12" xfId="0" applyFont="1" applyFill="1" applyBorder="1" applyAlignment="1" applyProtection="1">
      <alignment horizontal="left" vertical="center"/>
      <protection locked="0"/>
    </xf>
    <xf numFmtId="0" fontId="8" fillId="5" borderId="13" xfId="0" applyFont="1" applyFill="1" applyBorder="1" applyAlignment="1" applyProtection="1">
      <alignment horizontal="left" vertical="center"/>
      <protection locked="0"/>
    </xf>
    <xf numFmtId="0" fontId="8" fillId="5" borderId="11" xfId="0" applyFont="1" applyFill="1" applyBorder="1" applyAlignment="1" applyProtection="1">
      <alignment horizontal="left" vertical="center"/>
      <protection locked="0"/>
    </xf>
    <xf numFmtId="0" fontId="8" fillId="5" borderId="14" xfId="0" applyFont="1" applyFill="1" applyBorder="1" applyAlignment="1" applyProtection="1">
      <alignment horizontal="left" vertical="center"/>
      <protection locked="0"/>
    </xf>
    <xf numFmtId="0" fontId="8" fillId="5" borderId="15" xfId="0" applyFont="1" applyFill="1" applyBorder="1" applyAlignment="1">
      <alignment horizontal="right" vertical="center"/>
    </xf>
    <xf numFmtId="0" fontId="8" fillId="5" borderId="16" xfId="0" applyFont="1" applyFill="1" applyBorder="1" applyAlignment="1">
      <alignment horizontal="right" vertical="center"/>
    </xf>
    <xf numFmtId="164" fontId="8" fillId="3" borderId="47" xfId="0" applyNumberFormat="1" applyFont="1" applyFill="1" applyBorder="1" applyAlignment="1">
      <alignment horizontal="center" vertical="center"/>
    </xf>
    <xf numFmtId="164" fontId="8" fillId="3" borderId="1" xfId="0" applyNumberFormat="1" applyFont="1" applyFill="1" applyBorder="1" applyAlignment="1">
      <alignment horizontal="center" vertical="center"/>
    </xf>
    <xf numFmtId="4" fontId="8" fillId="4" borderId="46" xfId="0" applyNumberFormat="1" applyFont="1" applyFill="1" applyBorder="1" applyAlignment="1">
      <alignment horizontal="center" vertical="center" wrapText="1"/>
    </xf>
    <xf numFmtId="4" fontId="8" fillId="4" borderId="28" xfId="0" applyNumberFormat="1" applyFont="1" applyFill="1" applyBorder="1" applyAlignment="1">
      <alignment horizontal="center" vertical="center" wrapText="1"/>
    </xf>
    <xf numFmtId="4" fontId="8" fillId="4" borderId="25" xfId="0" applyNumberFormat="1" applyFont="1" applyFill="1" applyBorder="1" applyAlignment="1">
      <alignment horizontal="center" vertical="center" wrapText="1"/>
    </xf>
    <xf numFmtId="164" fontId="5" fillId="3" borderId="47" xfId="0" applyNumberFormat="1" applyFont="1" applyFill="1" applyBorder="1" applyAlignment="1">
      <alignment horizontal="center" vertical="center"/>
    </xf>
    <xf numFmtId="164" fontId="5" fillId="3" borderId="1" xfId="0" applyNumberFormat="1" applyFont="1" applyFill="1" applyBorder="1" applyAlignment="1">
      <alignment horizontal="center" vertical="center"/>
    </xf>
    <xf numFmtId="0" fontId="5" fillId="5" borderId="33" xfId="0" applyFont="1" applyFill="1" applyBorder="1" applyAlignment="1">
      <alignment horizontal="center" vertical="center"/>
    </xf>
    <xf numFmtId="0" fontId="5" fillId="5" borderId="34" xfId="0" applyFont="1" applyFill="1" applyBorder="1" applyAlignment="1">
      <alignment horizontal="center" vertical="center"/>
    </xf>
    <xf numFmtId="0" fontId="5" fillId="5" borderId="35" xfId="0" applyFont="1" applyFill="1" applyBorder="1" applyAlignment="1">
      <alignment horizontal="center" vertical="center"/>
    </xf>
    <xf numFmtId="0" fontId="8" fillId="5" borderId="17" xfId="0" applyFont="1" applyFill="1" applyBorder="1" applyAlignment="1">
      <alignment horizontal="left" vertical="center"/>
    </xf>
    <xf numFmtId="0" fontId="8" fillId="5" borderId="6" xfId="0" applyFont="1" applyFill="1" applyBorder="1" applyAlignment="1">
      <alignment horizontal="left" vertical="center"/>
    </xf>
    <xf numFmtId="0" fontId="8" fillId="5" borderId="9" xfId="0" applyFont="1" applyFill="1" applyBorder="1" applyAlignment="1" applyProtection="1">
      <alignment horizontal="left" vertical="center" wrapText="1"/>
      <protection locked="0"/>
    </xf>
    <xf numFmtId="0" fontId="8" fillId="5" borderId="23" xfId="0" applyFont="1" applyFill="1" applyBorder="1" applyAlignment="1" applyProtection="1">
      <alignment horizontal="left" vertical="center" wrapText="1"/>
      <protection locked="0"/>
    </xf>
    <xf numFmtId="0" fontId="8" fillId="5" borderId="32" xfId="0" applyFont="1" applyFill="1" applyBorder="1" applyAlignment="1" applyProtection="1">
      <alignment horizontal="left" vertical="center" wrapText="1"/>
      <protection locked="0"/>
    </xf>
    <xf numFmtId="0" fontId="8" fillId="5" borderId="48" xfId="0" applyFont="1" applyFill="1" applyBorder="1" applyAlignment="1" applyProtection="1">
      <alignment horizontal="left" vertical="center" wrapText="1"/>
      <protection locked="0"/>
    </xf>
    <xf numFmtId="0" fontId="8" fillId="4" borderId="7" xfId="0" applyFont="1" applyFill="1" applyBorder="1" applyAlignment="1">
      <alignment horizontal="center" vertical="center" wrapText="1"/>
    </xf>
    <xf numFmtId="0" fontId="8" fillId="4" borderId="3" xfId="0" applyFont="1" applyFill="1" applyBorder="1" applyAlignment="1">
      <alignment horizontal="center" vertical="center" wrapText="1"/>
    </xf>
    <xf numFmtId="0" fontId="8" fillId="4" borderId="20" xfId="0" applyFont="1" applyFill="1" applyBorder="1" applyAlignment="1">
      <alignment horizontal="center" vertical="center" wrapText="1"/>
    </xf>
    <xf numFmtId="0" fontId="8" fillId="5" borderId="5" xfId="0" applyFont="1" applyFill="1" applyBorder="1" applyAlignment="1">
      <alignment horizontal="left" vertical="center"/>
    </xf>
    <xf numFmtId="0" fontId="8" fillId="5" borderId="29" xfId="0" applyFont="1" applyFill="1" applyBorder="1" applyAlignment="1">
      <alignment horizontal="left" vertical="center"/>
    </xf>
    <xf numFmtId="4" fontId="8" fillId="5" borderId="8" xfId="0" applyNumberFormat="1" applyFont="1" applyFill="1" applyBorder="1" applyAlignment="1">
      <alignment horizontal="center" vertical="center"/>
    </xf>
    <xf numFmtId="4" fontId="8" fillId="5" borderId="9" xfId="0" applyNumberFormat="1" applyFont="1" applyFill="1" applyBorder="1" applyAlignment="1">
      <alignment horizontal="center" vertical="center"/>
    </xf>
    <xf numFmtId="4" fontId="8" fillId="5" borderId="10" xfId="0" applyNumberFormat="1" applyFont="1" applyFill="1" applyBorder="1" applyAlignment="1">
      <alignment horizontal="center" vertical="center"/>
    </xf>
    <xf numFmtId="4" fontId="8" fillId="5" borderId="49" xfId="0" applyNumberFormat="1" applyFont="1" applyFill="1" applyBorder="1" applyAlignment="1">
      <alignment horizontal="center" vertical="center"/>
    </xf>
    <xf numFmtId="4" fontId="8" fillId="5" borderId="32" xfId="0" applyNumberFormat="1" applyFont="1" applyFill="1" applyBorder="1" applyAlignment="1">
      <alignment horizontal="center" vertical="center"/>
    </xf>
    <xf numFmtId="4" fontId="8" fillId="5" borderId="30" xfId="0" applyNumberFormat="1" applyFont="1" applyFill="1" applyBorder="1" applyAlignment="1">
      <alignment horizontal="center" vertical="center"/>
    </xf>
    <xf numFmtId="1" fontId="8" fillId="4" borderId="45" xfId="0" applyNumberFormat="1" applyFont="1" applyFill="1" applyBorder="1" applyAlignment="1">
      <alignment horizontal="center" vertical="center" wrapText="1"/>
    </xf>
    <xf numFmtId="1" fontId="8" fillId="4" borderId="18" xfId="0" applyNumberFormat="1" applyFont="1" applyFill="1" applyBorder="1" applyAlignment="1">
      <alignment horizontal="center" vertical="center" wrapText="1"/>
    </xf>
    <xf numFmtId="1" fontId="8" fillId="4" borderId="19" xfId="0" applyNumberFormat="1" applyFont="1" applyFill="1" applyBorder="1" applyAlignment="1">
      <alignment horizontal="center" vertical="center" wrapText="1"/>
    </xf>
    <xf numFmtId="0" fontId="8" fillId="2" borderId="33" xfId="0" applyFont="1" applyFill="1" applyBorder="1" applyAlignment="1">
      <alignment horizontal="center" vertical="center" wrapText="1"/>
    </xf>
    <xf numFmtId="0" fontId="8" fillId="2" borderId="34" xfId="0" applyFont="1" applyFill="1" applyBorder="1" applyAlignment="1">
      <alignment horizontal="center" vertical="center" wrapText="1"/>
    </xf>
    <xf numFmtId="0" fontId="8" fillId="2" borderId="35" xfId="0" applyFont="1" applyFill="1" applyBorder="1" applyAlignment="1">
      <alignment horizontal="center" vertical="center" wrapText="1"/>
    </xf>
  </cellXfs>
  <cellStyles count="3">
    <cellStyle name="Hyperlink" xfId="2" xr:uid="{00000000-000B-0000-0000-000008000000}"/>
    <cellStyle name="Normal" xfId="0" builtinId="0"/>
    <cellStyle name="Vírgula" xfId="1" builtinId="3"/>
  </cellStyles>
  <dxfs count="0"/>
  <tableStyles count="0" defaultTableStyle="TableStyleMedium9" defaultPivotStyle="PivotStyleLight16"/>
  <colors>
    <mruColors>
      <color rgb="FF026A2A"/>
      <color rgb="FFE4EFDB"/>
      <color rgb="FFA2B298"/>
      <color rgb="FF01342D"/>
      <color rgb="FF0B3733"/>
      <color rgb="FF028434"/>
      <color rgb="FF03C54D"/>
      <color rgb="FF01913B"/>
      <color rgb="FF027C30"/>
      <color rgb="FF016F2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</xdr:colOff>
      <xdr:row>0</xdr:row>
      <xdr:rowOff>47625</xdr:rowOff>
    </xdr:from>
    <xdr:to>
      <xdr:col>2</xdr:col>
      <xdr:colOff>666750</xdr:colOff>
      <xdr:row>4</xdr:row>
      <xdr:rowOff>9525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B5A024A1-E19E-4A50-A4E0-ADE224C937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525" y="47625"/>
          <a:ext cx="1743075" cy="17430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bernardo.carvalho@fassabortolo.com.br" TargetMode="External"/><Relationship Id="rId1" Type="http://schemas.openxmlformats.org/officeDocument/2006/relationships/hyperlink" Target="mailto:botuveralocacoes.adm@gmail.com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Plan2">
    <tabColor indexed="41"/>
    <pageSetUpPr fitToPage="1"/>
  </sheetPr>
  <dimension ref="A1:U40"/>
  <sheetViews>
    <sheetView showGridLines="0" tabSelected="1" topLeftCell="C17" zoomScale="80" zoomScaleNormal="80" workbookViewId="0">
      <selection activeCell="K22" sqref="K22"/>
    </sheetView>
  </sheetViews>
  <sheetFormatPr defaultColWidth="9.140625" defaultRowHeight="20.100000000000001" customHeight="1"/>
  <cols>
    <col min="1" max="1" width="1.140625" style="3" customWidth="1"/>
    <col min="2" max="2" width="15.140625" style="3" customWidth="1"/>
    <col min="3" max="3" width="85.7109375" style="4" customWidth="1"/>
    <col min="4" max="4" width="10.7109375" style="3" customWidth="1"/>
    <col min="5" max="5" width="5.7109375" style="3" customWidth="1"/>
    <col min="6" max="6" width="10" style="5" customWidth="1"/>
    <col min="7" max="7" width="10.7109375" style="3" customWidth="1"/>
    <col min="8" max="8" width="19.5703125" style="6" customWidth="1"/>
    <col min="9" max="9" width="1.7109375" style="6" customWidth="1"/>
    <col min="10" max="10" width="30.5703125" style="4" customWidth="1"/>
    <col min="11" max="11" width="36.7109375" style="3" customWidth="1"/>
    <col min="12" max="12" width="1.7109375" style="6" customWidth="1"/>
    <col min="13" max="13" width="19.85546875" style="4" customWidth="1"/>
    <col min="14" max="14" width="41.7109375" style="3" customWidth="1"/>
    <col min="15" max="15" width="1.7109375" style="6" customWidth="1"/>
    <col min="16" max="16" width="13.42578125" style="4" customWidth="1"/>
    <col min="17" max="17" width="43.28515625" style="3" customWidth="1"/>
    <col min="18" max="18" width="0.140625" style="3" hidden="1" customWidth="1"/>
    <col min="19" max="19" width="0.42578125" style="3" hidden="1" customWidth="1"/>
    <col min="20" max="20" width="0.5703125" style="3" customWidth="1"/>
    <col min="21" max="16384" width="9.140625" style="1"/>
  </cols>
  <sheetData>
    <row r="1" spans="1:21" ht="6" customHeight="1"/>
    <row r="2" spans="1:21" ht="33" customHeight="1">
      <c r="A2" s="88" t="s">
        <v>0</v>
      </c>
      <c r="B2" s="89"/>
      <c r="C2" s="89"/>
      <c r="D2" s="89"/>
      <c r="E2" s="89"/>
      <c r="F2" s="89"/>
      <c r="G2" s="89"/>
      <c r="H2" s="89"/>
      <c r="I2" s="89"/>
      <c r="J2" s="89"/>
      <c r="K2" s="89"/>
      <c r="L2" s="89"/>
      <c r="M2" s="89"/>
      <c r="N2" s="89"/>
      <c r="O2" s="89"/>
      <c r="P2" s="89"/>
      <c r="Q2" s="89"/>
      <c r="R2" s="89"/>
      <c r="S2" s="89"/>
      <c r="T2" s="90"/>
    </row>
    <row r="3" spans="1:21" ht="20.100000000000001" customHeight="1">
      <c r="A3" s="91"/>
      <c r="B3" s="92"/>
      <c r="C3" s="92"/>
      <c r="D3" s="92"/>
      <c r="E3" s="92"/>
      <c r="F3" s="92"/>
      <c r="G3" s="92"/>
      <c r="H3" s="92"/>
      <c r="I3" s="92"/>
      <c r="J3" s="92"/>
      <c r="K3" s="92"/>
      <c r="L3" s="92"/>
      <c r="M3" s="92"/>
      <c r="N3" s="92"/>
      <c r="O3" s="92"/>
      <c r="P3" s="92"/>
      <c r="Q3" s="92"/>
      <c r="R3" s="92"/>
      <c r="S3" s="92"/>
      <c r="T3" s="93"/>
    </row>
    <row r="4" spans="1:21" ht="82.15" customHeight="1">
      <c r="A4" s="94"/>
      <c r="B4" s="95"/>
      <c r="C4" s="95"/>
      <c r="D4" s="95"/>
      <c r="E4" s="95"/>
      <c r="F4" s="95"/>
      <c r="G4" s="95"/>
      <c r="H4" s="95"/>
      <c r="I4" s="95"/>
      <c r="J4" s="95"/>
      <c r="K4" s="95"/>
      <c r="L4" s="95"/>
      <c r="M4" s="95"/>
      <c r="N4" s="95"/>
      <c r="O4" s="95"/>
      <c r="P4" s="95"/>
      <c r="Q4" s="95"/>
      <c r="R4" s="95"/>
      <c r="S4" s="95"/>
      <c r="T4" s="96"/>
    </row>
    <row r="5" spans="1:21" s="24" customFormat="1" ht="4.9000000000000004" customHeight="1">
      <c r="A5" s="21"/>
      <c r="B5" s="22"/>
      <c r="C5" s="23"/>
      <c r="D5" s="23"/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</row>
    <row r="6" spans="1:21" ht="20.100000000000001" customHeight="1">
      <c r="B6" s="28"/>
      <c r="C6" s="29"/>
      <c r="D6" s="30"/>
      <c r="E6" s="30"/>
      <c r="F6" s="30"/>
      <c r="G6" s="30"/>
      <c r="H6" s="31"/>
      <c r="J6" s="97" t="s">
        <v>1</v>
      </c>
      <c r="K6" s="98"/>
      <c r="M6" s="97" t="s">
        <v>2</v>
      </c>
      <c r="N6" s="98"/>
      <c r="P6" s="97" t="s">
        <v>3</v>
      </c>
      <c r="Q6" s="98"/>
      <c r="R6" s="6"/>
      <c r="S6" s="101"/>
      <c r="T6" s="101"/>
      <c r="U6" s="24"/>
    </row>
    <row r="7" spans="1:21" ht="5.0999999999999996" customHeight="1">
      <c r="J7" s="3"/>
      <c r="M7" s="3"/>
      <c r="P7" s="3"/>
      <c r="R7" s="6"/>
      <c r="S7" s="21"/>
      <c r="T7" s="21"/>
      <c r="U7" s="24"/>
    </row>
    <row r="8" spans="1:21" ht="20.100000000000001" customHeight="1">
      <c r="B8" s="121" t="s">
        <v>4</v>
      </c>
      <c r="C8" s="105" t="s">
        <v>5</v>
      </c>
      <c r="D8" s="105"/>
      <c r="E8" s="106"/>
      <c r="F8" s="109" t="s">
        <v>6</v>
      </c>
      <c r="G8" s="110"/>
      <c r="H8" s="19" t="s">
        <v>7</v>
      </c>
      <c r="J8" s="16" t="s">
        <v>8</v>
      </c>
      <c r="K8" s="36" t="s">
        <v>9</v>
      </c>
      <c r="M8" s="16" t="s">
        <v>8</v>
      </c>
      <c r="N8" s="36" t="s">
        <v>10</v>
      </c>
      <c r="P8" s="16" t="s">
        <v>8</v>
      </c>
      <c r="Q8" s="36" t="s">
        <v>11</v>
      </c>
      <c r="R8" s="6"/>
      <c r="S8" s="45"/>
      <c r="T8" s="46"/>
      <c r="U8" s="24"/>
    </row>
    <row r="9" spans="1:21" ht="20.100000000000001" customHeight="1">
      <c r="B9" s="122"/>
      <c r="C9" s="107"/>
      <c r="D9" s="107"/>
      <c r="E9" s="108"/>
      <c r="F9" s="103" t="s">
        <v>12</v>
      </c>
      <c r="G9" s="104"/>
      <c r="H9" s="20">
        <f ca="1">TODAY()</f>
        <v>46131</v>
      </c>
      <c r="J9" s="17" t="s">
        <v>13</v>
      </c>
      <c r="K9" s="39"/>
      <c r="M9" s="17" t="s">
        <v>13</v>
      </c>
      <c r="N9" s="39"/>
      <c r="P9" s="17" t="s">
        <v>13</v>
      </c>
      <c r="Q9" s="39" t="s">
        <v>14</v>
      </c>
      <c r="R9" s="6"/>
      <c r="S9" s="45"/>
      <c r="T9" s="46"/>
      <c r="U9" s="24"/>
    </row>
    <row r="10" spans="1:21" ht="20.100000000000001" customHeight="1">
      <c r="B10" s="130" t="s">
        <v>15</v>
      </c>
      <c r="C10" s="123" t="s">
        <v>16</v>
      </c>
      <c r="D10" s="123"/>
      <c r="E10" s="124"/>
      <c r="F10" s="132"/>
      <c r="G10" s="133"/>
      <c r="H10" s="134"/>
      <c r="J10" s="17" t="s">
        <v>17</v>
      </c>
      <c r="K10" s="37" t="s">
        <v>18</v>
      </c>
      <c r="M10" s="17" t="s">
        <v>17</v>
      </c>
      <c r="N10" s="37" t="s">
        <v>19</v>
      </c>
      <c r="P10" s="17" t="s">
        <v>17</v>
      </c>
      <c r="Q10" s="37" t="s">
        <v>20</v>
      </c>
      <c r="R10" s="6"/>
      <c r="S10" s="45"/>
      <c r="T10" s="46"/>
      <c r="U10" s="24"/>
    </row>
    <row r="11" spans="1:21" ht="20.100000000000001" customHeight="1">
      <c r="B11" s="131"/>
      <c r="C11" s="125"/>
      <c r="D11" s="125"/>
      <c r="E11" s="126"/>
      <c r="F11" s="135"/>
      <c r="G11" s="136"/>
      <c r="H11" s="137"/>
      <c r="J11" s="18" t="s">
        <v>21</v>
      </c>
      <c r="K11" s="40" t="s">
        <v>22</v>
      </c>
      <c r="M11" s="18" t="s">
        <v>21</v>
      </c>
      <c r="N11" s="55"/>
      <c r="P11" s="18" t="s">
        <v>21</v>
      </c>
      <c r="Q11" s="41" t="s">
        <v>23</v>
      </c>
      <c r="R11" s="6"/>
      <c r="S11" s="45"/>
      <c r="T11" s="46"/>
      <c r="U11" s="24"/>
    </row>
    <row r="12" spans="1:21" ht="5.0999999999999996" customHeight="1">
      <c r="B12" s="141"/>
      <c r="C12" s="142"/>
      <c r="D12" s="142"/>
      <c r="E12" s="142"/>
      <c r="F12" s="142"/>
      <c r="G12" s="142"/>
      <c r="H12" s="143"/>
      <c r="K12" s="4"/>
      <c r="N12" s="4"/>
      <c r="Q12" s="4"/>
      <c r="R12" s="6"/>
      <c r="S12" s="47"/>
      <c r="T12" s="47"/>
      <c r="U12" s="24"/>
    </row>
    <row r="13" spans="1:21" ht="20.100000000000001" customHeight="1">
      <c r="B13" s="82" t="s">
        <v>24</v>
      </c>
      <c r="C13" s="85" t="s">
        <v>25</v>
      </c>
      <c r="D13" s="85" t="s">
        <v>26</v>
      </c>
      <c r="E13" s="85" t="s">
        <v>27</v>
      </c>
      <c r="F13" s="138" t="s">
        <v>28</v>
      </c>
      <c r="G13" s="85" t="s">
        <v>29</v>
      </c>
      <c r="H13" s="113" t="s">
        <v>30</v>
      </c>
      <c r="I13" s="7"/>
      <c r="J13" s="127" t="s">
        <v>31</v>
      </c>
      <c r="K13" s="128"/>
      <c r="L13" s="7"/>
      <c r="M13" s="127" t="s">
        <v>31</v>
      </c>
      <c r="N13" s="128"/>
      <c r="O13" s="7"/>
      <c r="P13" s="127" t="s">
        <v>31</v>
      </c>
      <c r="Q13" s="128"/>
      <c r="R13" s="7"/>
      <c r="S13" s="102"/>
      <c r="T13" s="102"/>
      <c r="U13" s="24"/>
    </row>
    <row r="14" spans="1:21" ht="20.100000000000001" customHeight="1">
      <c r="B14" s="83"/>
      <c r="C14" s="86"/>
      <c r="D14" s="86"/>
      <c r="E14" s="86"/>
      <c r="F14" s="139"/>
      <c r="G14" s="86"/>
      <c r="H14" s="114"/>
      <c r="I14" s="7"/>
      <c r="J14" s="129" t="s">
        <v>29</v>
      </c>
      <c r="K14" s="99" t="s">
        <v>32</v>
      </c>
      <c r="L14" s="7"/>
      <c r="M14" s="129" t="s">
        <v>29</v>
      </c>
      <c r="N14" s="99" t="s">
        <v>32</v>
      </c>
      <c r="O14" s="7"/>
      <c r="P14" s="129" t="s">
        <v>33</v>
      </c>
      <c r="Q14" s="99" t="s">
        <v>32</v>
      </c>
      <c r="R14" s="7"/>
      <c r="S14" s="102"/>
      <c r="T14" s="102"/>
      <c r="U14" s="24"/>
    </row>
    <row r="15" spans="1:21" ht="20.100000000000001" customHeight="1">
      <c r="B15" s="84"/>
      <c r="C15" s="87"/>
      <c r="D15" s="87"/>
      <c r="E15" s="87"/>
      <c r="F15" s="140"/>
      <c r="G15" s="87"/>
      <c r="H15" s="115"/>
      <c r="I15" s="7"/>
      <c r="J15" s="84"/>
      <c r="K15" s="100"/>
      <c r="L15" s="7"/>
      <c r="M15" s="84"/>
      <c r="N15" s="100"/>
      <c r="O15" s="7"/>
      <c r="P15" s="84"/>
      <c r="Q15" s="100"/>
      <c r="R15" s="7"/>
      <c r="S15" s="102"/>
      <c r="T15" s="102"/>
      <c r="U15" s="24"/>
    </row>
    <row r="16" spans="1:21" ht="5.0999999999999996" customHeight="1">
      <c r="B16" s="8"/>
      <c r="C16" s="9"/>
      <c r="D16" s="10"/>
      <c r="E16" s="10"/>
      <c r="F16" s="11"/>
      <c r="G16" s="10"/>
      <c r="H16" s="12"/>
      <c r="J16" s="3"/>
      <c r="M16" s="3"/>
      <c r="P16" s="3"/>
      <c r="R16" s="6"/>
      <c r="S16" s="21"/>
      <c r="T16" s="21"/>
      <c r="U16" s="24"/>
    </row>
    <row r="17" spans="1:21" ht="69.75" customHeight="1">
      <c r="B17" s="32">
        <v>1</v>
      </c>
      <c r="C17" s="42" t="s">
        <v>34</v>
      </c>
      <c r="D17" s="43">
        <v>1</v>
      </c>
      <c r="E17" s="44" t="s">
        <v>35</v>
      </c>
      <c r="F17" s="33"/>
      <c r="G17" s="34"/>
      <c r="H17" s="35"/>
      <c r="I17" s="13"/>
      <c r="J17" s="56">
        <v>1500</v>
      </c>
      <c r="K17" s="74">
        <f>J17*D17</f>
        <v>1500</v>
      </c>
      <c r="L17" s="13"/>
      <c r="M17" s="56">
        <v>350</v>
      </c>
      <c r="N17" s="74">
        <f>PRODUCT(D17*M17)</f>
        <v>350</v>
      </c>
      <c r="O17" s="13"/>
      <c r="P17" s="56">
        <v>1500</v>
      </c>
      <c r="Q17" s="74">
        <f>PRODUCT(D17*P17)</f>
        <v>1500</v>
      </c>
      <c r="R17" s="13"/>
      <c r="S17" s="48"/>
      <c r="T17" s="49"/>
      <c r="U17" s="24"/>
    </row>
    <row r="18" spans="1:21" ht="69.75" customHeight="1">
      <c r="B18" s="63">
        <v>2</v>
      </c>
      <c r="C18" s="57" t="s">
        <v>36</v>
      </c>
      <c r="D18" s="58">
        <v>1</v>
      </c>
      <c r="E18" s="59" t="s">
        <v>35</v>
      </c>
      <c r="F18" s="62"/>
      <c r="G18" s="61"/>
      <c r="H18" s="60"/>
      <c r="J18" s="71" t="s">
        <v>37</v>
      </c>
      <c r="K18" s="76" t="s">
        <v>37</v>
      </c>
      <c r="M18" s="72">
        <v>100</v>
      </c>
      <c r="N18" s="75">
        <f>PRODUCT(D18*M18)</f>
        <v>100</v>
      </c>
      <c r="P18" s="72" t="s">
        <v>37</v>
      </c>
      <c r="Q18" s="76" t="s">
        <v>37</v>
      </c>
      <c r="R18" s="6"/>
      <c r="S18" s="50"/>
      <c r="T18" s="50"/>
      <c r="U18" s="24"/>
    </row>
    <row r="19" spans="1:21" ht="69.75" customHeight="1">
      <c r="B19" s="64">
        <v>3</v>
      </c>
      <c r="C19" s="67" t="s">
        <v>38</v>
      </c>
      <c r="D19" s="68">
        <v>1</v>
      </c>
      <c r="E19" s="69" t="s">
        <v>35</v>
      </c>
      <c r="F19" s="65"/>
      <c r="G19" s="65"/>
      <c r="H19" s="66"/>
      <c r="J19" s="70" t="s">
        <v>37</v>
      </c>
      <c r="K19" s="77" t="s">
        <v>37</v>
      </c>
      <c r="M19" s="70" t="s">
        <v>37</v>
      </c>
      <c r="N19" s="77" t="s">
        <v>37</v>
      </c>
      <c r="P19" s="70">
        <v>100</v>
      </c>
      <c r="Q19" s="73">
        <v>100</v>
      </c>
      <c r="R19" s="6"/>
      <c r="S19" s="50"/>
      <c r="T19" s="50"/>
      <c r="U19" s="24"/>
    </row>
    <row r="20" spans="1:21" ht="30" customHeight="1">
      <c r="H20" s="27">
        <f>SUM(H17:H18)</f>
        <v>0</v>
      </c>
      <c r="I20" s="15"/>
      <c r="J20" s="78" t="s">
        <v>39</v>
      </c>
      <c r="K20" s="79">
        <f>SUM(K17:K19)</f>
        <v>1500</v>
      </c>
      <c r="L20" s="15"/>
      <c r="M20" s="25"/>
      <c r="N20" s="111">
        <f>SUM(N17:N19)</f>
        <v>450</v>
      </c>
      <c r="O20" s="15"/>
      <c r="P20" s="25"/>
      <c r="Q20" s="116">
        <v>1600</v>
      </c>
      <c r="R20" s="15"/>
      <c r="S20" s="51"/>
      <c r="T20" s="52"/>
      <c r="U20" s="24"/>
    </row>
    <row r="21" spans="1:21" s="2" customFormat="1" ht="35.450000000000003" customHeight="1">
      <c r="A21" s="3"/>
      <c r="B21" s="38" t="s">
        <v>40</v>
      </c>
      <c r="C21" s="118" t="s">
        <v>41</v>
      </c>
      <c r="D21" s="119"/>
      <c r="E21" s="119"/>
      <c r="F21" s="119"/>
      <c r="G21" s="119"/>
      <c r="H21" s="120"/>
      <c r="I21" s="6"/>
      <c r="J21" s="80" t="s">
        <v>42</v>
      </c>
      <c r="K21" s="81">
        <v>450</v>
      </c>
      <c r="L21" s="6"/>
      <c r="M21" s="26" t="s">
        <v>39</v>
      </c>
      <c r="N21" s="112"/>
      <c r="O21" s="6"/>
      <c r="P21" s="26" t="s">
        <v>39</v>
      </c>
      <c r="Q21" s="117"/>
      <c r="R21" s="6"/>
      <c r="S21" s="53"/>
      <c r="T21" s="52"/>
      <c r="U21" s="54"/>
    </row>
    <row r="22" spans="1:21" ht="20.100000000000001" customHeight="1">
      <c r="J22" s="14"/>
      <c r="K22" s="6"/>
      <c r="M22" s="14"/>
      <c r="N22" s="6"/>
      <c r="P22" s="14"/>
      <c r="Q22" s="6"/>
      <c r="S22" s="21"/>
      <c r="T22" s="21"/>
      <c r="U22" s="24"/>
    </row>
    <row r="23" spans="1:21" ht="53.25" customHeight="1">
      <c r="J23" s="14"/>
      <c r="K23" s="6"/>
      <c r="M23" s="14"/>
      <c r="N23" s="6"/>
      <c r="P23" s="14"/>
      <c r="Q23" s="6"/>
      <c r="S23" s="21"/>
      <c r="T23" s="21"/>
      <c r="U23" s="24"/>
    </row>
    <row r="24" spans="1:21" ht="20.100000000000001" customHeight="1">
      <c r="J24" s="14"/>
      <c r="K24" s="6"/>
      <c r="M24" s="14"/>
      <c r="N24" s="6"/>
      <c r="P24" s="14"/>
      <c r="Q24" s="6"/>
    </row>
    <row r="25" spans="1:21" ht="20.100000000000001" customHeight="1">
      <c r="J25" s="14"/>
      <c r="K25" s="6"/>
      <c r="M25" s="14"/>
      <c r="N25" s="6"/>
      <c r="P25" s="14"/>
      <c r="Q25" s="6"/>
    </row>
    <row r="26" spans="1:21" ht="20.100000000000001" customHeight="1">
      <c r="J26" s="14"/>
      <c r="K26" s="6"/>
      <c r="M26" s="14"/>
      <c r="N26" s="6"/>
      <c r="P26" s="14"/>
      <c r="Q26" s="6"/>
    </row>
    <row r="27" spans="1:21" ht="20.100000000000001" customHeight="1">
      <c r="J27" s="14"/>
      <c r="K27" s="6"/>
      <c r="M27" s="14"/>
      <c r="N27" s="6"/>
      <c r="P27" s="14"/>
      <c r="Q27" s="6"/>
    </row>
    <row r="28" spans="1:21" ht="20.100000000000001" customHeight="1">
      <c r="J28" s="14"/>
      <c r="K28" s="6"/>
      <c r="M28" s="14"/>
      <c r="N28" s="6"/>
      <c r="P28" s="14"/>
      <c r="Q28" s="6"/>
    </row>
    <row r="29" spans="1:21" ht="20.100000000000001" customHeight="1">
      <c r="J29" s="14"/>
      <c r="K29" s="6"/>
      <c r="M29" s="14"/>
      <c r="N29" s="6"/>
      <c r="P29" s="14"/>
      <c r="Q29" s="6"/>
    </row>
    <row r="30" spans="1:21" ht="20.100000000000001" customHeight="1">
      <c r="J30" s="14"/>
      <c r="K30" s="6"/>
      <c r="M30" s="14"/>
      <c r="N30" s="6"/>
      <c r="P30" s="14"/>
      <c r="Q30" s="6"/>
    </row>
    <row r="31" spans="1:21" ht="20.100000000000001" customHeight="1">
      <c r="J31" s="14"/>
      <c r="K31" s="6"/>
      <c r="M31" s="14"/>
      <c r="N31" s="6"/>
      <c r="P31" s="14"/>
      <c r="Q31" s="6"/>
    </row>
    <row r="32" spans="1:21" ht="20.100000000000001" customHeight="1">
      <c r="J32" s="14"/>
      <c r="K32" s="6"/>
      <c r="M32" s="14"/>
      <c r="N32" s="6"/>
      <c r="P32" s="14"/>
      <c r="Q32" s="6"/>
    </row>
    <row r="33" spans="3:17" ht="20.100000000000001" customHeight="1">
      <c r="J33" s="14"/>
      <c r="K33" s="6"/>
      <c r="M33" s="14"/>
      <c r="N33" s="6"/>
      <c r="P33" s="14"/>
      <c r="Q33" s="6"/>
    </row>
    <row r="34" spans="3:17" ht="20.100000000000001" customHeight="1">
      <c r="J34" s="14"/>
      <c r="K34" s="6"/>
      <c r="M34" s="14"/>
      <c r="N34" s="6"/>
      <c r="P34" s="14"/>
      <c r="Q34" s="6"/>
    </row>
    <row r="35" spans="3:17" ht="20.100000000000001" customHeight="1">
      <c r="J35" s="14"/>
      <c r="K35" s="6"/>
      <c r="M35" s="14"/>
      <c r="N35" s="6"/>
      <c r="P35" s="14"/>
      <c r="Q35" s="6"/>
    </row>
    <row r="36" spans="3:17" ht="20.100000000000001" customHeight="1">
      <c r="J36" s="14"/>
      <c r="K36" s="6"/>
      <c r="M36" s="14"/>
      <c r="N36" s="6"/>
      <c r="P36" s="14"/>
      <c r="Q36" s="6"/>
    </row>
    <row r="37" spans="3:17" ht="20.100000000000001" customHeight="1">
      <c r="J37" s="14"/>
      <c r="K37" s="6"/>
      <c r="M37" s="14"/>
      <c r="N37" s="6"/>
      <c r="P37" s="14"/>
      <c r="Q37" s="6"/>
    </row>
    <row r="38" spans="3:17" ht="20.100000000000001" customHeight="1">
      <c r="J38" s="14"/>
      <c r="K38" s="6"/>
      <c r="M38" s="14"/>
      <c r="N38" s="6"/>
      <c r="P38" s="14"/>
      <c r="Q38" s="6"/>
    </row>
    <row r="39" spans="3:17" ht="20.100000000000001" customHeight="1">
      <c r="C39" s="3"/>
      <c r="F39" s="3"/>
      <c r="H39" s="3"/>
      <c r="J39" s="14"/>
      <c r="K39" s="6"/>
      <c r="M39" s="14"/>
      <c r="N39" s="6"/>
      <c r="P39" s="14"/>
      <c r="Q39" s="6"/>
    </row>
    <row r="40" spans="3:17" ht="20.100000000000001" customHeight="1">
      <c r="J40" s="14"/>
      <c r="K40" s="6"/>
      <c r="M40" s="14"/>
      <c r="N40" s="6"/>
      <c r="P40" s="14"/>
      <c r="Q40" s="6"/>
    </row>
  </sheetData>
  <mergeCells count="35">
    <mergeCell ref="B8:B9"/>
    <mergeCell ref="C10:E11"/>
    <mergeCell ref="P13:Q13"/>
    <mergeCell ref="M14:M15"/>
    <mergeCell ref="P14:P15"/>
    <mergeCell ref="B10:B11"/>
    <mergeCell ref="J13:K13"/>
    <mergeCell ref="F10:H11"/>
    <mergeCell ref="J14:J15"/>
    <mergeCell ref="D13:D15"/>
    <mergeCell ref="E13:E15"/>
    <mergeCell ref="F13:F15"/>
    <mergeCell ref="M13:N13"/>
    <mergeCell ref="B12:H12"/>
    <mergeCell ref="N20:N21"/>
    <mergeCell ref="G13:G15"/>
    <mergeCell ref="H13:H15"/>
    <mergeCell ref="Q20:Q21"/>
    <mergeCell ref="C21:H21"/>
    <mergeCell ref="B13:B15"/>
    <mergeCell ref="C13:C15"/>
    <mergeCell ref="A2:T4"/>
    <mergeCell ref="J6:K6"/>
    <mergeCell ref="K14:K15"/>
    <mergeCell ref="M6:N6"/>
    <mergeCell ref="P6:Q6"/>
    <mergeCell ref="S6:T6"/>
    <mergeCell ref="N14:N15"/>
    <mergeCell ref="S14:S15"/>
    <mergeCell ref="T14:T15"/>
    <mergeCell ref="S13:T13"/>
    <mergeCell ref="F9:G9"/>
    <mergeCell ref="Q14:Q15"/>
    <mergeCell ref="C8:E9"/>
    <mergeCell ref="F8:G8"/>
  </mergeCells>
  <phoneticPr fontId="0" type="noConversion"/>
  <hyperlinks>
    <hyperlink ref="K11" r:id="rId1" xr:uid="{8949A99A-F246-4041-90EB-25DDF3A8BCE1}"/>
    <hyperlink ref="Q11" r:id="rId2" xr:uid="{3EF05D28-3B9B-4672-9F8A-253E9ABF13AC}"/>
  </hyperlinks>
  <printOptions horizontalCentered="1"/>
  <pageMargins left="0.39370078740157483" right="0.39370078740157483" top="0.59055118110236227" bottom="0.98425196850393704" header="0.51181102362204722" footer="0.51181102362204722"/>
  <pageSetup paperSize="9" scale="62" fitToHeight="0" orientation="landscape" horizontalDpi="4294967293" r:id="rId3"/>
  <headerFooter alignWithMargins="0">
    <oddFooter>&amp;L&amp;"Arial,Negrito"Construtora Tempo Confidencial&amp;RPágina &amp;P</oddFooter>
  </headerFooter>
  <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Construtora Tempo</dc:title>
  <dc:subject/>
  <dc:creator>Frederico Antonio</dc:creator>
  <cp:keywords/>
  <dc:description/>
  <cp:lastModifiedBy>Usuário Convidado</cp:lastModifiedBy>
  <cp:revision/>
  <dcterms:created xsi:type="dcterms:W3CDTF">2006-01-20T16:15:51Z</dcterms:created>
  <dcterms:modified xsi:type="dcterms:W3CDTF">2026-04-19T05:42:32Z</dcterms:modified>
  <cp:category/>
  <cp:contentStatus/>
</cp:coreProperties>
</file>