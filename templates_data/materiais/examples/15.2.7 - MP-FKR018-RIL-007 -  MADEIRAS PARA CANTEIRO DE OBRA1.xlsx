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962" documentId="13_ncr:1_{5F56E237-6F85-4BA0-959A-CB6F98F9809C}" xr6:coauthVersionLast="47" xr6:coauthVersionMax="47" xr10:uidLastSave="{7DB04EC8-AAD7-4FB6-9300-7E6576AC6AD2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MP!$B$2:$Q$33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53" l="1"/>
  <c r="Q26" i="53"/>
  <c r="Q21" i="53"/>
  <c r="Q22" i="53"/>
  <c r="Q23" i="53"/>
  <c r="Q24" i="53"/>
  <c r="Q32" i="53"/>
  <c r="Q29" i="53"/>
  <c r="Q30" i="53"/>
  <c r="Q18" i="53"/>
  <c r="Q17" i="53"/>
  <c r="K26" i="53"/>
  <c r="K20" i="53"/>
  <c r="K19" i="53"/>
  <c r="K28" i="53"/>
  <c r="K31" i="53"/>
  <c r="K29" i="53"/>
  <c r="K30" i="53"/>
  <c r="K23" i="53"/>
  <c r="K24" i="53"/>
  <c r="K21" i="53"/>
  <c r="K22" i="53"/>
  <c r="K17" i="53"/>
  <c r="N17" i="53"/>
  <c r="N31" i="53"/>
  <c r="N29" i="53"/>
  <c r="N30" i="53"/>
  <c r="N24" i="53"/>
  <c r="N25" i="53"/>
  <c r="N27" i="53"/>
  <c r="N21" i="53"/>
  <c r="N18" i="53"/>
  <c r="N22" i="53"/>
  <c r="N23" i="53"/>
  <c r="H9" i="53"/>
  <c r="H32" i="53"/>
  <c r="N32" i="53" l="1"/>
</calcChain>
</file>

<file path=xl/sharedStrings.xml><?xml version="1.0" encoding="utf-8"?>
<sst xmlns="http://schemas.openxmlformats.org/spreadsheetml/2006/main" count="116" uniqueCount="59">
  <si>
    <t>MAPA DE CONCORRÊNCIA</t>
  </si>
  <si>
    <t>FORNECEDOR 1</t>
  </si>
  <si>
    <t>FORNECEDOR 2</t>
  </si>
  <si>
    <t>OBRA:</t>
  </si>
  <si>
    <t>OBRA RIL - RESIDENCIA ISABELA E LUIZ RENNO</t>
  </si>
  <si>
    <t>N.º :</t>
  </si>
  <si>
    <t>07</t>
  </si>
  <si>
    <t>NOME</t>
  </si>
  <si>
    <t xml:space="preserve">MADEREIRA CANADÁ </t>
  </si>
  <si>
    <t>MADEREIRA ESTRELA</t>
  </si>
  <si>
    <t>Top Madeiras da Via do Minério</t>
  </si>
  <si>
    <t>DATA :</t>
  </si>
  <si>
    <t>CONTATO</t>
  </si>
  <si>
    <t>Magda</t>
  </si>
  <si>
    <t>Alberto Junior</t>
  </si>
  <si>
    <t>Giuly</t>
  </si>
  <si>
    <t>ASSU.:</t>
  </si>
  <si>
    <t>MADEIRAS PARA CONSTRUÇÃO DO CANTEIRO DE OBRAS</t>
  </si>
  <si>
    <t>TELEFONE</t>
  </si>
  <si>
    <t>(31) 99792-9862</t>
  </si>
  <si>
    <t>(31) 3476-8131</t>
  </si>
  <si>
    <t>(31) 9868-4258</t>
  </si>
  <si>
    <t>EMAIL</t>
  </si>
  <si>
    <t>madereiracanada11@gmail.com</t>
  </si>
  <si>
    <t>vendas@madereiraestrela.com.br</t>
  </si>
  <si>
    <t>madieireiratopviadominerio@gmail.com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</si>
  <si>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</si>
  <si>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</si>
  <si>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</si>
  <si>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</si>
  <si>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</si>
  <si>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</si>
  <si>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</si>
  <si>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</si>
  <si>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TOTAL</t>
  </si>
  <si>
    <t xml:space="preserve">Eucalipto Tratado 12 a 14 c/ 5,00m </t>
  </si>
  <si>
    <t>VB</t>
  </si>
  <si>
    <t xml:space="preserve">Eucalipto Tratado 12 a 14 c/ 3,00m </t>
  </si>
  <si>
    <t>_</t>
  </si>
  <si>
    <t>2.1</t>
  </si>
  <si>
    <t>2.2</t>
  </si>
  <si>
    <t xml:space="preserve">Eucalipto Tratado 12 a 14 c/ 3,50m </t>
  </si>
  <si>
    <t>Pontalete pinus 7,5*7,5 c/ 3,00 m</t>
  </si>
  <si>
    <t>Sarrafo Pinus 0,07 c/3,00 m x 2,3 cm</t>
  </si>
  <si>
    <t>Madeirite Plastificado 14mm</t>
  </si>
  <si>
    <t>Madeirite Plastificado 18mm</t>
  </si>
  <si>
    <t>Madeira 20x5 c/6,00m Cambará</t>
  </si>
  <si>
    <t>7.1</t>
  </si>
  <si>
    <t>Madeira 20x5 c/6,00 m Paraju</t>
  </si>
  <si>
    <t>Madeira 8x5 c/5,00 m Cambará</t>
  </si>
  <si>
    <t>8.1</t>
  </si>
  <si>
    <t>Madeira 10x5 c/5,00 m Paraju</t>
  </si>
  <si>
    <t>Prego 17*21</t>
  </si>
  <si>
    <t>Prego 18*30</t>
  </si>
  <si>
    <t>Frete</t>
  </si>
  <si>
    <t>SALDO</t>
  </si>
  <si>
    <t>ENDEREÇO OBRA:</t>
  </si>
  <si>
    <t>Rua Mares de Montanha, nº 2620, Vale dos Cristais - Cidade: Nova Lima - MG.</t>
  </si>
  <si>
    <t>VALOR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</si>
</sst>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6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4" fontId="4" fillId="0" borderId="34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 applyProtection="1">
      <alignment horizontal="center" vertical="center"/>
      <protection locked="0"/>
    </xf>
    <xf numFmtId="14" fontId="8" fillId="5" borderId="3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left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4" fontId="6" fillId="0" borderId="41" xfId="0" applyNumberFormat="1" applyFont="1" applyBorder="1" applyAlignment="1" applyProtection="1">
      <alignment horizontal="center" vertical="center"/>
      <protection locked="0"/>
    </xf>
    <xf numFmtId="4" fontId="6" fillId="0" borderId="42" xfId="0" applyNumberFormat="1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left" vertical="center"/>
      <protection locked="0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39" xfId="0" applyFont="1" applyBorder="1" applyAlignment="1" applyProtection="1">
      <alignment vertical="center"/>
      <protection locked="0"/>
    </xf>
    <xf numFmtId="0" fontId="9" fillId="0" borderId="39" xfId="2" applyBorder="1" applyAlignment="1" applyProtection="1">
      <alignment horizontal="left" vertical="center"/>
      <protection locked="0"/>
    </xf>
    <xf numFmtId="0" fontId="11" fillId="2" borderId="35" xfId="0" applyFont="1" applyFill="1" applyBorder="1" applyAlignment="1" applyProtection="1">
      <alignment horizontal="left" vertical="center" wrapText="1"/>
      <protection locked="0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6" fillId="2" borderId="49" xfId="0" quotePrefix="1" applyFont="1" applyFill="1" applyBorder="1" applyAlignment="1">
      <alignment horizontal="center" vertical="center"/>
    </xf>
    <xf numFmtId="0" fontId="11" fillId="2" borderId="50" xfId="0" applyFont="1" applyFill="1" applyBorder="1" applyAlignment="1" applyProtection="1">
      <alignment horizontal="left" vertical="center" wrapText="1"/>
      <protection locked="0"/>
    </xf>
    <xf numFmtId="1" fontId="6" fillId="0" borderId="50" xfId="0" applyNumberFormat="1" applyFont="1" applyBorder="1" applyAlignment="1" applyProtection="1">
      <alignment vertical="center"/>
      <protection locked="0"/>
    </xf>
    <xf numFmtId="2" fontId="6" fillId="2" borderId="48" xfId="1" applyNumberFormat="1" applyFont="1" applyFill="1" applyBorder="1" applyAlignment="1">
      <alignment horizontal="center" vertical="center" wrapText="1" shrinkToFit="1"/>
    </xf>
    <xf numFmtId="0" fontId="9" fillId="0" borderId="42" xfId="2" applyBorder="1" applyAlignment="1" applyProtection="1">
      <alignment horizontal="left" vertical="center" wrapText="1"/>
      <protection locked="0"/>
    </xf>
    <xf numFmtId="40" fontId="6" fillId="2" borderId="45" xfId="0" applyNumberFormat="1" applyFont="1" applyFill="1" applyBorder="1" applyAlignment="1">
      <alignment horizontal="center" vertical="center"/>
    </xf>
    <xf numFmtId="4" fontId="6" fillId="2" borderId="43" xfId="0" applyNumberFormat="1" applyFont="1" applyFill="1" applyBorder="1" applyAlignment="1" applyProtection="1">
      <alignment horizontal="center" vertical="center"/>
      <protection locked="0"/>
    </xf>
    <xf numFmtId="0" fontId="11" fillId="2" borderId="59" xfId="0" applyFont="1" applyFill="1" applyBorder="1" applyAlignment="1" applyProtection="1">
      <alignment horizontal="left" vertical="center" wrapText="1"/>
      <protection locked="0"/>
    </xf>
    <xf numFmtId="0" fontId="6" fillId="2" borderId="60" xfId="0" quotePrefix="1" applyFont="1" applyFill="1" applyBorder="1" applyAlignment="1">
      <alignment horizontal="center" vertical="center"/>
    </xf>
    <xf numFmtId="0" fontId="6" fillId="2" borderId="43" xfId="0" quotePrefix="1" applyFont="1" applyFill="1" applyBorder="1" applyAlignment="1">
      <alignment horizontal="center" vertical="center"/>
    </xf>
    <xf numFmtId="0" fontId="6" fillId="2" borderId="61" xfId="0" quotePrefix="1" applyFont="1" applyFill="1" applyBorder="1" applyAlignment="1">
      <alignment horizontal="center" vertical="center"/>
    </xf>
    <xf numFmtId="2" fontId="6" fillId="2" borderId="62" xfId="1" applyNumberFormat="1" applyFont="1" applyFill="1" applyBorder="1" applyAlignment="1">
      <alignment horizontal="center" vertical="center" wrapText="1" shrinkToFit="1"/>
    </xf>
    <xf numFmtId="2" fontId="6" fillId="2" borderId="44" xfId="1" applyNumberFormat="1" applyFont="1" applyFill="1" applyBorder="1" applyAlignment="1">
      <alignment horizontal="center" vertical="center" wrapText="1" shrinkToFit="1"/>
    </xf>
    <xf numFmtId="2" fontId="6" fillId="2" borderId="63" xfId="1" applyNumberFormat="1" applyFont="1" applyFill="1" applyBorder="1" applyAlignment="1">
      <alignment horizontal="center" vertical="center" wrapText="1" shrinkToFit="1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 applyAlignment="1" applyProtection="1">
      <alignment horizontal="center" vertical="center"/>
      <protection locked="0"/>
    </xf>
    <xf numFmtId="1" fontId="6" fillId="2" borderId="64" xfId="0" applyNumberFormat="1" applyFont="1" applyFill="1" applyBorder="1" applyAlignment="1" applyProtection="1">
      <alignment horizontal="center" vertical="center"/>
      <protection locked="0"/>
    </xf>
    <xf numFmtId="4" fontId="6" fillId="2" borderId="64" xfId="0" applyNumberFormat="1" applyFont="1" applyFill="1" applyBorder="1" applyAlignment="1" applyProtection="1">
      <alignment horizontal="center" vertical="center"/>
      <protection locked="0"/>
    </xf>
    <xf numFmtId="40" fontId="6" fillId="2" borderId="65" xfId="0" applyNumberFormat="1" applyFont="1" applyFill="1" applyBorder="1" applyAlignment="1">
      <alignment horizontal="center" vertical="center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1" fontId="6" fillId="2" borderId="44" xfId="0" applyNumberFormat="1" applyFont="1" applyFill="1" applyBorder="1" applyAlignment="1" applyProtection="1">
      <alignment horizontal="center" vertical="center"/>
      <protection locked="0"/>
    </xf>
    <xf numFmtId="4" fontId="6" fillId="2" borderId="44" xfId="0" applyNumberFormat="1" applyFont="1" applyFill="1" applyBorder="1" applyAlignment="1" applyProtection="1">
      <alignment horizontal="center" vertical="center"/>
      <protection locked="0"/>
    </xf>
    <xf numFmtId="4" fontId="6" fillId="2" borderId="63" xfId="0" applyNumberFormat="1" applyFont="1" applyFill="1" applyBorder="1" applyAlignment="1" applyProtection="1">
      <alignment horizontal="center" vertical="center"/>
      <protection locked="0"/>
    </xf>
    <xf numFmtId="1" fontId="6" fillId="2" borderId="63" xfId="0" applyNumberFormat="1" applyFont="1" applyFill="1" applyBorder="1" applyAlignment="1" applyProtection="1">
      <alignment horizontal="center" vertical="center"/>
      <protection locked="0"/>
    </xf>
    <xf numFmtId="40" fontId="6" fillId="2" borderId="66" xfId="0" applyNumberFormat="1" applyFont="1" applyFill="1" applyBorder="1" applyAlignment="1">
      <alignment horizontal="center" vertical="center"/>
    </xf>
    <xf numFmtId="4" fontId="6" fillId="2" borderId="60" xfId="0" applyNumberFormat="1" applyFont="1" applyFill="1" applyBorder="1" applyAlignment="1" applyProtection="1">
      <alignment horizontal="center" vertical="center"/>
      <protection locked="0"/>
    </xf>
    <xf numFmtId="4" fontId="6" fillId="2" borderId="61" xfId="0" applyNumberFormat="1" applyFont="1" applyFill="1" applyBorder="1" applyAlignment="1" applyProtection="1">
      <alignment horizontal="center" vertical="center"/>
      <protection locked="0"/>
    </xf>
    <xf numFmtId="4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40" fontId="6" fillId="2" borderId="69" xfId="0" applyNumberFormat="1" applyFont="1" applyFill="1" applyBorder="1" applyAlignment="1">
      <alignment vertical="center"/>
    </xf>
    <xf numFmtId="40" fontId="6" fillId="2" borderId="7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horizontal="center" vertical="center"/>
    </xf>
    <xf numFmtId="40" fontId="6" fillId="2" borderId="66" xfId="0" applyNumberFormat="1" applyFont="1" applyFill="1" applyBorder="1" applyAlignment="1">
      <alignment vertical="center"/>
    </xf>
    <xf numFmtId="40" fontId="6" fillId="2" borderId="74" xfId="0" applyNumberFormat="1" applyFont="1" applyFill="1" applyBorder="1" applyAlignment="1">
      <alignment vertical="center"/>
    </xf>
    <xf numFmtId="4" fontId="6" fillId="2" borderId="75" xfId="0" applyNumberFormat="1" applyFont="1" applyFill="1" applyBorder="1" applyAlignment="1" applyProtection="1">
      <alignment horizontal="center" vertical="center"/>
      <protection locked="0"/>
    </xf>
    <xf numFmtId="40" fontId="6" fillId="2" borderId="74" xfId="0" applyNumberFormat="1" applyFont="1" applyFill="1" applyBorder="1" applyAlignment="1">
      <alignment horizontal="center" vertical="center"/>
    </xf>
    <xf numFmtId="40" fontId="6" fillId="2" borderId="69" xfId="0" applyNumberFormat="1" applyFont="1" applyFill="1" applyBorder="1" applyAlignment="1">
      <alignment horizontal="center" vertical="center"/>
    </xf>
    <xf numFmtId="4" fontId="6" fillId="2" borderId="30" xfId="0" applyNumberFormat="1" applyFont="1" applyFill="1" applyBorder="1" applyAlignment="1" applyProtection="1">
      <alignment horizontal="center" vertical="center"/>
      <protection locked="0"/>
    </xf>
    <xf numFmtId="4" fontId="6" fillId="2" borderId="73" xfId="0" applyNumberFormat="1" applyFont="1" applyFill="1" applyBorder="1" applyAlignment="1" applyProtection="1">
      <alignment horizontal="center" vertical="center"/>
      <protection locked="0"/>
    </xf>
    <xf numFmtId="40" fontId="6" fillId="2" borderId="74" xfId="0" applyNumberFormat="1" applyFont="1" applyFill="1" applyBorder="1" applyAlignment="1">
      <alignment horizontal="right" vertical="center"/>
    </xf>
    <xf numFmtId="0" fontId="8" fillId="5" borderId="16" xfId="0" applyFont="1" applyFill="1" applyBorder="1" applyAlignment="1">
      <alignment vertical="center"/>
    </xf>
    <xf numFmtId="164" fontId="8" fillId="3" borderId="71" xfId="0" applyNumberFormat="1" applyFont="1" applyFill="1" applyBorder="1" applyAlignment="1">
      <alignment vertical="center"/>
    </xf>
    <xf numFmtId="164" fontId="8" fillId="3" borderId="76" xfId="0" applyNumberFormat="1" applyFont="1" applyFill="1" applyBorder="1" applyAlignment="1">
      <alignment vertical="center"/>
    </xf>
    <xf numFmtId="0" fontId="8" fillId="5" borderId="67" xfId="0" applyFont="1" applyFill="1" applyBorder="1" applyAlignment="1">
      <alignment vertical="center"/>
    </xf>
    <xf numFmtId="0" fontId="8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 vertical="center"/>
    </xf>
    <xf numFmtId="0" fontId="8" fillId="5" borderId="76" xfId="0" applyFont="1" applyFill="1" applyBorder="1" applyAlignment="1">
      <alignment vertical="center" wrapText="1"/>
    </xf>
    <xf numFmtId="0" fontId="5" fillId="5" borderId="67" xfId="0" applyFont="1" applyFill="1" applyBorder="1" applyAlignment="1">
      <alignment vertical="center"/>
    </xf>
    <xf numFmtId="0" fontId="5" fillId="5" borderId="77" xfId="0" applyFont="1" applyFill="1" applyBorder="1" applyAlignment="1">
      <alignment vertical="center"/>
    </xf>
    <xf numFmtId="0" fontId="5" fillId="5" borderId="68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1" fontId="8" fillId="4" borderId="44" xfId="0" applyNumberFormat="1" applyFont="1" applyFill="1" applyBorder="1" applyAlignment="1">
      <alignment horizontal="center" vertical="center" wrapText="1"/>
    </xf>
    <xf numFmtId="1" fontId="8" fillId="4" borderId="17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4" fontId="8" fillId="4" borderId="45" xfId="0" applyNumberFormat="1" applyFont="1" applyFill="1" applyBorder="1" applyAlignment="1">
      <alignment horizontal="center" vertical="center" wrapText="1"/>
    </xf>
    <xf numFmtId="4" fontId="8" fillId="4" borderId="27" xfId="0" applyNumberFormat="1" applyFont="1" applyFill="1" applyBorder="1" applyAlignment="1">
      <alignment horizontal="center" vertical="center" wrapText="1"/>
    </xf>
    <xf numFmtId="4" fontId="8" fillId="4" borderId="24" xfId="0" applyNumberFormat="1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164" fontId="8" fillId="3" borderId="71" xfId="0" applyNumberFormat="1" applyFont="1" applyFill="1" applyBorder="1" applyAlignment="1">
      <alignment horizontal="center" vertical="center"/>
    </xf>
    <xf numFmtId="164" fontId="8" fillId="3" borderId="72" xfId="0" applyNumberFormat="1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 applyProtection="1">
      <alignment horizontal="left" vertical="center" wrapText="1"/>
      <protection locked="0"/>
    </xf>
    <xf numFmtId="0" fontId="8" fillId="5" borderId="22" xfId="0" applyFont="1" applyFill="1" applyBorder="1" applyAlignment="1" applyProtection="1">
      <alignment horizontal="left" vertical="center" wrapText="1"/>
      <protection locked="0"/>
    </xf>
    <xf numFmtId="0" fontId="8" fillId="5" borderId="31" xfId="0" applyFont="1" applyFill="1" applyBorder="1" applyAlignment="1" applyProtection="1">
      <alignment horizontal="left" vertical="center" wrapText="1"/>
      <protection locked="0"/>
    </xf>
    <xf numFmtId="0" fontId="8" fillId="5" borderId="46" xfId="0" applyFont="1" applyFill="1" applyBorder="1" applyAlignment="1" applyProtection="1">
      <alignment horizontal="left" vertical="center" wrapText="1"/>
      <protection locked="0"/>
    </xf>
    <xf numFmtId="0" fontId="8" fillId="5" borderId="25" xfId="0" applyFont="1" applyFill="1" applyBorder="1" applyAlignment="1">
      <alignment horizontal="right" vertical="center"/>
    </xf>
    <xf numFmtId="0" fontId="8" fillId="5" borderId="26" xfId="0" applyFont="1" applyFill="1" applyBorder="1" applyAlignment="1">
      <alignment horizontal="right" vertical="center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0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28" xfId="0" applyFont="1" applyFill="1" applyBorder="1" applyAlignment="1">
      <alignment horizontal="left" vertical="center"/>
    </xf>
    <xf numFmtId="4" fontId="8" fillId="5" borderId="7" xfId="0" applyNumberFormat="1" applyFont="1" applyFill="1" applyBorder="1" applyAlignment="1">
      <alignment horizontal="center" vertical="center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47" xfId="0" applyNumberFormat="1" applyFont="1" applyFill="1" applyBorder="1" applyAlignment="1">
      <alignment horizontal="center" vertical="center"/>
    </xf>
    <xf numFmtId="4" fontId="8" fillId="5" borderId="31" xfId="0" applyNumberFormat="1" applyFont="1" applyFill="1" applyBorder="1" applyAlignment="1">
      <alignment horizontal="center" vertical="center"/>
    </xf>
    <xf numFmtId="4" fontId="8" fillId="5" borderId="29" xfId="0" applyNumberFormat="1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657225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A196D9-83A5-4F01-832C-E4BFB097D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1743075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dieireiratopviadominerio@gmail.com" TargetMode="External"/><Relationship Id="rId2" Type="http://schemas.openxmlformats.org/officeDocument/2006/relationships/hyperlink" Target="mailto:vendas@madereiraestrela.com.br" TargetMode="External"/><Relationship Id="rId1" Type="http://schemas.openxmlformats.org/officeDocument/2006/relationships/hyperlink" Target="mailto:madereiracanada11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U53"/>
  <sheetViews>
    <sheetView showGridLines="0" tabSelected="1" topLeftCell="A23" zoomScale="80" zoomScaleNormal="80" workbookViewId="0">
      <selection activeCell="Q30" sqref="Q30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30.28515625" style="4" customWidth="1"/>
    <col min="11" max="11" width="35.140625" style="3" customWidth="1"/>
    <col min="12" max="12" width="1.7109375" style="6" customWidth="1"/>
    <col min="13" max="13" width="19.85546875" style="4" customWidth="1"/>
    <col min="14" max="14" width="41.7109375" style="3" customWidth="1"/>
    <col min="15" max="15" width="1.7109375" style="6" customWidth="1"/>
    <col min="16" max="16" width="28.42578125" style="4" customWidth="1"/>
    <col min="17" max="17" width="40.425781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1" ht="6" customHeight="1"/>
    <row r="2" spans="1:21" ht="33" customHeight="1">
      <c r="A2" s="120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2"/>
      <c r="R2" s="78"/>
      <c r="S2" s="78"/>
      <c r="T2" s="78"/>
    </row>
    <row r="3" spans="1:21" ht="20.100000000000001" customHeigh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5"/>
      <c r="R3" s="78"/>
      <c r="S3" s="78"/>
      <c r="T3" s="78"/>
    </row>
    <row r="4" spans="1:21" ht="82.15" customHeight="1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8"/>
      <c r="R4" s="78"/>
      <c r="S4" s="78"/>
      <c r="T4" s="78"/>
    </row>
    <row r="5" spans="1:21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1" ht="20.100000000000001" customHeight="1">
      <c r="B6" s="26"/>
      <c r="C6" s="27"/>
      <c r="D6" s="28"/>
      <c r="E6" s="28"/>
      <c r="F6" s="28"/>
      <c r="G6" s="28"/>
      <c r="H6" s="29"/>
      <c r="J6" s="135" t="s">
        <v>1</v>
      </c>
      <c r="K6" s="136"/>
      <c r="M6" s="109" t="s">
        <v>2</v>
      </c>
      <c r="N6" s="110"/>
      <c r="O6" s="13"/>
      <c r="P6" s="109" t="s">
        <v>2</v>
      </c>
      <c r="Q6" s="110"/>
      <c r="R6" s="13"/>
      <c r="S6" s="101"/>
      <c r="T6" s="101"/>
      <c r="U6" s="24"/>
    </row>
    <row r="7" spans="1:21" ht="5.0999999999999996" customHeight="1">
      <c r="J7" s="3"/>
      <c r="M7" s="3"/>
      <c r="O7" s="13"/>
      <c r="P7" s="3"/>
      <c r="R7" s="13"/>
      <c r="S7" s="21"/>
      <c r="T7" s="21"/>
      <c r="U7" s="24"/>
    </row>
    <row r="8" spans="1:21" ht="20.100000000000001" customHeight="1">
      <c r="B8" s="133" t="s">
        <v>3</v>
      </c>
      <c r="C8" s="148" t="s">
        <v>4</v>
      </c>
      <c r="D8" s="148"/>
      <c r="E8" s="149"/>
      <c r="F8" s="152" t="s">
        <v>5</v>
      </c>
      <c r="G8" s="153"/>
      <c r="H8" s="19" t="s">
        <v>6</v>
      </c>
      <c r="J8" s="16" t="s">
        <v>7</v>
      </c>
      <c r="K8" s="32" t="s">
        <v>8</v>
      </c>
      <c r="M8" s="16" t="s">
        <v>7</v>
      </c>
      <c r="N8" s="32" t="s">
        <v>9</v>
      </c>
      <c r="O8" s="13"/>
      <c r="P8" s="16" t="s">
        <v>7</v>
      </c>
      <c r="Q8" s="32" t="s">
        <v>10</v>
      </c>
      <c r="R8" s="13"/>
      <c r="S8" s="68"/>
      <c r="T8" s="69"/>
      <c r="U8" s="24"/>
    </row>
    <row r="9" spans="1:21" ht="20.100000000000001" customHeight="1">
      <c r="B9" s="134"/>
      <c r="C9" s="150"/>
      <c r="D9" s="150"/>
      <c r="E9" s="151"/>
      <c r="F9" s="143" t="s">
        <v>11</v>
      </c>
      <c r="G9" s="144"/>
      <c r="H9" s="20">
        <f ca="1">TODAY()</f>
        <v>46120</v>
      </c>
      <c r="J9" s="17" t="s">
        <v>12</v>
      </c>
      <c r="K9" s="34" t="s">
        <v>13</v>
      </c>
      <c r="M9" s="17" t="s">
        <v>12</v>
      </c>
      <c r="N9" s="34" t="s">
        <v>14</v>
      </c>
      <c r="O9" s="13"/>
      <c r="P9" s="17" t="s">
        <v>12</v>
      </c>
      <c r="Q9" s="34" t="s">
        <v>15</v>
      </c>
      <c r="R9" s="13"/>
      <c r="S9" s="68"/>
      <c r="T9" s="69"/>
      <c r="U9" s="24"/>
    </row>
    <row r="10" spans="1:21" ht="20.100000000000001" customHeight="1">
      <c r="B10" s="154" t="s">
        <v>16</v>
      </c>
      <c r="C10" s="139" t="s">
        <v>17</v>
      </c>
      <c r="D10" s="139"/>
      <c r="E10" s="140"/>
      <c r="F10" s="156"/>
      <c r="G10" s="157"/>
      <c r="H10" s="158"/>
      <c r="J10" s="17" t="s">
        <v>18</v>
      </c>
      <c r="K10" s="33" t="s">
        <v>19</v>
      </c>
      <c r="M10" s="17" t="s">
        <v>18</v>
      </c>
      <c r="N10" s="33" t="s">
        <v>20</v>
      </c>
      <c r="O10" s="13"/>
      <c r="P10" s="17" t="s">
        <v>18</v>
      </c>
      <c r="Q10" s="33" t="s">
        <v>21</v>
      </c>
      <c r="R10" s="13"/>
      <c r="S10" s="68"/>
      <c r="T10" s="69"/>
      <c r="U10" s="24"/>
    </row>
    <row r="11" spans="1:21" ht="20.100000000000001" customHeight="1">
      <c r="B11" s="155"/>
      <c r="C11" s="141"/>
      <c r="D11" s="141"/>
      <c r="E11" s="142"/>
      <c r="F11" s="159"/>
      <c r="G11" s="160"/>
      <c r="H11" s="161"/>
      <c r="J11" s="18" t="s">
        <v>22</v>
      </c>
      <c r="K11" s="35" t="s">
        <v>23</v>
      </c>
      <c r="M11" s="18" t="s">
        <v>22</v>
      </c>
      <c r="N11" s="42" t="s">
        <v>24</v>
      </c>
      <c r="O11" s="13"/>
      <c r="P11" s="18" t="s">
        <v>22</v>
      </c>
      <c r="Q11" s="42" t="s">
        <v>25</v>
      </c>
      <c r="R11" s="13"/>
      <c r="S11" s="68"/>
      <c r="T11" s="69"/>
      <c r="U11" s="24"/>
    </row>
    <row r="12" spans="1:21" ht="5.0999999999999996" customHeight="1">
      <c r="B12" s="145"/>
      <c r="C12" s="146"/>
      <c r="D12" s="146"/>
      <c r="E12" s="146"/>
      <c r="F12" s="146"/>
      <c r="G12" s="146"/>
      <c r="H12" s="147"/>
      <c r="K12" s="4"/>
      <c r="N12" s="4"/>
      <c r="O12" s="13"/>
      <c r="Q12" s="4"/>
      <c r="R12" s="13"/>
      <c r="S12" s="70"/>
      <c r="T12" s="70"/>
      <c r="U12" s="24"/>
    </row>
    <row r="13" spans="1:21" ht="20.100000000000001" customHeight="1">
      <c r="B13" s="137" t="s">
        <v>26</v>
      </c>
      <c r="C13" s="111" t="s">
        <v>27</v>
      </c>
      <c r="D13" s="111" t="s">
        <v>28</v>
      </c>
      <c r="E13" s="111" t="s">
        <v>29</v>
      </c>
      <c r="F13" s="114" t="s">
        <v>30</v>
      </c>
      <c r="G13" s="111" t="s">
        <v>31</v>
      </c>
      <c r="H13" s="117" t="s">
        <v>32</v>
      </c>
      <c r="I13" s="7"/>
      <c r="J13" s="105" t="s">
        <v>33</v>
      </c>
      <c r="K13" s="106"/>
      <c r="L13" s="7"/>
      <c r="M13" s="105" t="s">
        <v>33</v>
      </c>
      <c r="N13" s="106"/>
      <c r="O13" s="65"/>
      <c r="P13" s="105" t="s">
        <v>33</v>
      </c>
      <c r="Q13" s="106"/>
      <c r="R13" s="65"/>
      <c r="S13" s="104"/>
      <c r="T13" s="104"/>
      <c r="U13" s="24"/>
    </row>
    <row r="14" spans="1:21" ht="20.100000000000001" customHeight="1">
      <c r="B14" s="138"/>
      <c r="C14" s="112"/>
      <c r="D14" s="112"/>
      <c r="E14" s="112"/>
      <c r="F14" s="115"/>
      <c r="G14" s="112"/>
      <c r="H14" s="118"/>
      <c r="I14" s="7"/>
      <c r="J14" s="107" t="s">
        <v>31</v>
      </c>
      <c r="K14" s="102" t="s">
        <v>34</v>
      </c>
      <c r="L14" s="7"/>
      <c r="M14" s="107" t="s">
        <v>31</v>
      </c>
      <c r="N14" s="102" t="s">
        <v>31</v>
      </c>
      <c r="O14" s="65"/>
      <c r="P14" s="107" t="s">
        <v>31</v>
      </c>
      <c r="Q14" s="102" t="s">
        <v>31</v>
      </c>
      <c r="R14" s="65"/>
      <c r="S14" s="104"/>
      <c r="T14" s="104"/>
      <c r="U14" s="24"/>
    </row>
    <row r="15" spans="1:21" ht="20.100000000000001" customHeight="1">
      <c r="B15" s="108"/>
      <c r="C15" s="113"/>
      <c r="D15" s="113"/>
      <c r="E15" s="113"/>
      <c r="F15" s="116"/>
      <c r="G15" s="113"/>
      <c r="H15" s="119"/>
      <c r="I15" s="7"/>
      <c r="J15" s="108"/>
      <c r="K15" s="103"/>
      <c r="L15" s="7"/>
      <c r="M15" s="108"/>
      <c r="N15" s="103"/>
      <c r="O15" s="65"/>
      <c r="P15" s="108"/>
      <c r="Q15" s="103"/>
      <c r="R15" s="65"/>
      <c r="S15" s="104"/>
      <c r="T15" s="104"/>
      <c r="U15" s="24"/>
    </row>
    <row r="16" spans="1:21" ht="5.0999999999999996" customHeight="1">
      <c r="B16" s="8"/>
      <c r="C16" s="9"/>
      <c r="D16" s="10"/>
      <c r="E16" s="10"/>
      <c r="F16" s="11"/>
      <c r="G16" s="10"/>
      <c r="H16" s="12"/>
      <c r="J16" s="3"/>
      <c r="M16" s="3"/>
      <c r="O16" s="13"/>
      <c r="P16" s="3"/>
      <c r="R16" s="13"/>
      <c r="S16" s="21"/>
      <c r="T16" s="21"/>
      <c r="U16" s="24"/>
    </row>
    <row r="17" spans="2:21" ht="69.75" customHeight="1">
      <c r="B17" s="47">
        <v>1</v>
      </c>
      <c r="C17" s="36" t="s">
        <v>35</v>
      </c>
      <c r="D17" s="50">
        <v>20</v>
      </c>
      <c r="E17" s="53" t="s">
        <v>36</v>
      </c>
      <c r="F17" s="58"/>
      <c r="G17" s="59"/>
      <c r="H17" s="43"/>
      <c r="I17" s="13"/>
      <c r="J17" s="44">
        <v>178.85</v>
      </c>
      <c r="K17" s="80">
        <f>PRODUCT(D17*J17)</f>
        <v>3577</v>
      </c>
      <c r="L17" s="13"/>
      <c r="M17" s="44">
        <v>160</v>
      </c>
      <c r="N17" s="80">
        <f>PRODUCT(M17*D17)</f>
        <v>3200</v>
      </c>
      <c r="O17" s="13"/>
      <c r="P17" s="44">
        <v>136</v>
      </c>
      <c r="Q17" s="80">
        <f>PRODUCT(D17*P17)</f>
        <v>2720</v>
      </c>
      <c r="R17" s="13"/>
      <c r="S17" s="71"/>
      <c r="T17" s="72"/>
      <c r="U17" s="24"/>
    </row>
    <row r="18" spans="2:21" ht="69.75" customHeight="1">
      <c r="B18" s="48">
        <v>2</v>
      </c>
      <c r="C18" s="45" t="s">
        <v>37</v>
      </c>
      <c r="D18" s="49">
        <v>20</v>
      </c>
      <c r="E18" s="57" t="s">
        <v>36</v>
      </c>
      <c r="F18" s="61"/>
      <c r="G18" s="60"/>
      <c r="H18" s="62"/>
      <c r="I18" s="13"/>
      <c r="J18" s="64" t="s">
        <v>38</v>
      </c>
      <c r="K18" s="86" t="s">
        <v>38</v>
      </c>
      <c r="L18" s="13"/>
      <c r="M18" s="64">
        <v>80</v>
      </c>
      <c r="N18" s="83">
        <f>PRODUCT(M18*D18)</f>
        <v>1600</v>
      </c>
      <c r="O18" s="13"/>
      <c r="P18" s="64">
        <v>71</v>
      </c>
      <c r="Q18" s="83">
        <f>PRODUCT(D18*P18)</f>
        <v>1420</v>
      </c>
      <c r="R18" s="13"/>
      <c r="S18" s="71"/>
      <c r="T18" s="72"/>
      <c r="U18" s="24"/>
    </row>
    <row r="19" spans="2:21" ht="69.75" customHeight="1">
      <c r="B19" s="48" t="s">
        <v>39</v>
      </c>
      <c r="C19" s="45" t="s">
        <v>37</v>
      </c>
      <c r="D19" s="51">
        <v>14</v>
      </c>
      <c r="E19" s="57" t="s">
        <v>36</v>
      </c>
      <c r="F19" s="61"/>
      <c r="G19" s="60"/>
      <c r="H19" s="62"/>
      <c r="I19" s="13"/>
      <c r="J19" s="64">
        <v>115.7</v>
      </c>
      <c r="K19" s="79">
        <f>+PRODUCT(D19*J19)</f>
        <v>1619.8</v>
      </c>
      <c r="L19" s="13"/>
      <c r="M19" s="64" t="s">
        <v>38</v>
      </c>
      <c r="N19" s="85" t="s">
        <v>38</v>
      </c>
      <c r="O19" s="13"/>
      <c r="P19" s="64" t="s">
        <v>38</v>
      </c>
      <c r="Q19" s="85" t="s">
        <v>38</v>
      </c>
      <c r="R19" s="13"/>
      <c r="S19" s="71"/>
      <c r="T19" s="72"/>
      <c r="U19" s="24"/>
    </row>
    <row r="20" spans="2:21" ht="69.75" customHeight="1">
      <c r="B20" s="48" t="s">
        <v>40</v>
      </c>
      <c r="C20" s="45" t="s">
        <v>41</v>
      </c>
      <c r="D20" s="51">
        <v>6</v>
      </c>
      <c r="E20" s="57" t="s">
        <v>36</v>
      </c>
      <c r="F20" s="61"/>
      <c r="G20" s="60"/>
      <c r="H20" s="62"/>
      <c r="I20" s="13"/>
      <c r="J20" s="64">
        <v>144.44999999999999</v>
      </c>
      <c r="K20" s="79">
        <f>+D20*J20</f>
        <v>866.69999999999993</v>
      </c>
      <c r="L20" s="13"/>
      <c r="M20" s="64" t="s">
        <v>38</v>
      </c>
      <c r="N20" s="85" t="s">
        <v>38</v>
      </c>
      <c r="O20" s="13"/>
      <c r="P20" s="64" t="s">
        <v>38</v>
      </c>
      <c r="Q20" s="85" t="s">
        <v>38</v>
      </c>
      <c r="R20" s="13"/>
      <c r="S20" s="71"/>
      <c r="T20" s="72"/>
      <c r="U20" s="24"/>
    </row>
    <row r="21" spans="2:21" ht="69.75" customHeight="1">
      <c r="B21" s="48">
        <v>3</v>
      </c>
      <c r="C21" s="45" t="s">
        <v>42</v>
      </c>
      <c r="D21" s="51">
        <v>80</v>
      </c>
      <c r="E21" s="57" t="s">
        <v>36</v>
      </c>
      <c r="F21" s="61"/>
      <c r="G21" s="60"/>
      <c r="H21" s="62"/>
      <c r="I21" s="13"/>
      <c r="J21" s="64">
        <v>35.33</v>
      </c>
      <c r="K21" s="79">
        <f t="shared" ref="K21:K30" si="0">PRODUCT(D21*J21)</f>
        <v>2826.3999999999996</v>
      </c>
      <c r="L21" s="13"/>
      <c r="M21" s="64">
        <v>25.95</v>
      </c>
      <c r="N21" s="83">
        <f>PRODUCT(M21*D21)</f>
        <v>2076</v>
      </c>
      <c r="O21" s="13"/>
      <c r="P21" s="64">
        <v>35</v>
      </c>
      <c r="Q21" s="83">
        <f t="shared" ref="Q19:Q31" si="1">PRODUCT(D21*P21)</f>
        <v>2800</v>
      </c>
      <c r="R21" s="13"/>
      <c r="S21" s="71"/>
      <c r="T21" s="72"/>
      <c r="U21" s="24"/>
    </row>
    <row r="22" spans="2:21" ht="69.75" customHeight="1">
      <c r="B22" s="46">
        <v>4</v>
      </c>
      <c r="C22" s="45" t="s">
        <v>43</v>
      </c>
      <c r="D22" s="51">
        <v>150</v>
      </c>
      <c r="E22" s="57" t="s">
        <v>36</v>
      </c>
      <c r="F22" s="61"/>
      <c r="G22" s="60"/>
      <c r="H22" s="62"/>
      <c r="I22" s="13"/>
      <c r="J22" s="64">
        <v>6.67</v>
      </c>
      <c r="K22" s="79">
        <f t="shared" si="0"/>
        <v>1000.5</v>
      </c>
      <c r="L22" s="13"/>
      <c r="M22" s="64">
        <v>7.5</v>
      </c>
      <c r="N22" s="83">
        <f t="shared" ref="N22:N31" si="2">PRODUCT(M22*D22)</f>
        <v>1125</v>
      </c>
      <c r="O22" s="13"/>
      <c r="P22" s="64">
        <v>8.1999999999999993</v>
      </c>
      <c r="Q22" s="83">
        <f t="shared" si="1"/>
        <v>1230</v>
      </c>
      <c r="R22" s="13"/>
      <c r="S22" s="71"/>
      <c r="T22" s="72"/>
      <c r="U22" s="24"/>
    </row>
    <row r="23" spans="2:21" ht="69.75" customHeight="1">
      <c r="B23" s="46">
        <v>5</v>
      </c>
      <c r="C23" s="45" t="s">
        <v>44</v>
      </c>
      <c r="D23" s="49">
        <v>100</v>
      </c>
      <c r="E23" s="52" t="s">
        <v>36</v>
      </c>
      <c r="F23" s="54"/>
      <c r="G23" s="55"/>
      <c r="H23" s="56"/>
      <c r="I23" s="13"/>
      <c r="J23" s="64">
        <v>120.81</v>
      </c>
      <c r="K23" s="79">
        <f t="shared" si="0"/>
        <v>12081</v>
      </c>
      <c r="L23" s="13"/>
      <c r="M23" s="64">
        <v>97</v>
      </c>
      <c r="N23" s="83">
        <f t="shared" si="2"/>
        <v>9700</v>
      </c>
      <c r="O23" s="13"/>
      <c r="P23" s="64">
        <v>99</v>
      </c>
      <c r="Q23" s="83">
        <f t="shared" si="1"/>
        <v>9900</v>
      </c>
      <c r="R23" s="13"/>
      <c r="S23" s="71"/>
      <c r="T23" s="72"/>
      <c r="U23" s="24"/>
    </row>
    <row r="24" spans="2:21" ht="69.75" customHeight="1">
      <c r="B24" s="46">
        <v>6</v>
      </c>
      <c r="C24" s="45" t="s">
        <v>45</v>
      </c>
      <c r="D24" s="49">
        <v>65</v>
      </c>
      <c r="E24" s="52" t="s">
        <v>36</v>
      </c>
      <c r="F24" s="54"/>
      <c r="G24" s="55"/>
      <c r="H24" s="56"/>
      <c r="I24" s="13"/>
      <c r="J24" s="84">
        <v>139.4</v>
      </c>
      <c r="K24" s="79">
        <f t="shared" si="0"/>
        <v>9061</v>
      </c>
      <c r="L24" s="13"/>
      <c r="M24" s="64">
        <v>158</v>
      </c>
      <c r="N24" s="83">
        <f t="shared" si="2"/>
        <v>10270</v>
      </c>
      <c r="O24" s="13"/>
      <c r="P24" s="64">
        <v>144.9</v>
      </c>
      <c r="Q24" s="83">
        <f t="shared" si="1"/>
        <v>9418.5</v>
      </c>
      <c r="R24" s="13"/>
      <c r="S24" s="71"/>
      <c r="T24" s="72"/>
      <c r="U24" s="24"/>
    </row>
    <row r="25" spans="2:21" ht="69.75" customHeight="1">
      <c r="B25" s="46">
        <v>7</v>
      </c>
      <c r="C25" s="45" t="s">
        <v>46</v>
      </c>
      <c r="D25" s="49">
        <v>24</v>
      </c>
      <c r="E25" s="52" t="s">
        <v>36</v>
      </c>
      <c r="F25" s="54"/>
      <c r="G25" s="55"/>
      <c r="H25" s="56"/>
      <c r="I25" s="13"/>
      <c r="J25" s="84" t="s">
        <v>38</v>
      </c>
      <c r="K25" s="86" t="s">
        <v>38</v>
      </c>
      <c r="L25" s="13"/>
      <c r="M25" s="64">
        <v>400</v>
      </c>
      <c r="N25" s="83">
        <f t="shared" si="2"/>
        <v>9600</v>
      </c>
      <c r="O25" s="13"/>
      <c r="P25" s="64" t="s">
        <v>38</v>
      </c>
      <c r="Q25" s="85" t="s">
        <v>38</v>
      </c>
      <c r="R25" s="13"/>
      <c r="S25" s="71"/>
      <c r="T25" s="72"/>
      <c r="U25" s="24"/>
    </row>
    <row r="26" spans="2:21" ht="69.75" customHeight="1">
      <c r="B26" s="46" t="s">
        <v>47</v>
      </c>
      <c r="C26" s="45" t="s">
        <v>48</v>
      </c>
      <c r="D26" s="49">
        <v>24</v>
      </c>
      <c r="E26" s="52" t="s">
        <v>36</v>
      </c>
      <c r="F26" s="54"/>
      <c r="G26" s="55"/>
      <c r="H26" s="56"/>
      <c r="I26" s="13"/>
      <c r="J26" s="84">
        <v>319.81</v>
      </c>
      <c r="K26" s="79">
        <f>PRODUCT(D26*J26)</f>
        <v>7675.4400000000005</v>
      </c>
      <c r="L26" s="13"/>
      <c r="M26" s="64" t="s">
        <v>38</v>
      </c>
      <c r="N26" s="85" t="s">
        <v>38</v>
      </c>
      <c r="O26" s="13"/>
      <c r="P26" s="64">
        <v>345</v>
      </c>
      <c r="Q26" s="89">
        <f>PRODUCT(P26*D26)</f>
        <v>8280</v>
      </c>
      <c r="R26" s="13"/>
      <c r="S26" s="71"/>
      <c r="T26" s="72"/>
      <c r="U26" s="24"/>
    </row>
    <row r="27" spans="2:21" ht="69.75" customHeight="1">
      <c r="B27" s="46">
        <v>8</v>
      </c>
      <c r="C27" s="45" t="s">
        <v>49</v>
      </c>
      <c r="D27" s="49">
        <v>70</v>
      </c>
      <c r="E27" s="52" t="s">
        <v>36</v>
      </c>
      <c r="F27" s="54"/>
      <c r="G27" s="55"/>
      <c r="H27" s="56"/>
      <c r="I27" s="13"/>
      <c r="J27" s="84" t="s">
        <v>38</v>
      </c>
      <c r="K27" s="86" t="s">
        <v>38</v>
      </c>
      <c r="L27" s="13"/>
      <c r="M27" s="64">
        <v>120</v>
      </c>
      <c r="N27" s="83">
        <f t="shared" si="2"/>
        <v>8400</v>
      </c>
      <c r="O27" s="13"/>
      <c r="P27" s="64" t="s">
        <v>38</v>
      </c>
      <c r="Q27" s="85" t="s">
        <v>38</v>
      </c>
      <c r="R27" s="13"/>
      <c r="S27" s="71"/>
      <c r="T27" s="72"/>
      <c r="U27" s="24"/>
    </row>
    <row r="28" spans="2:21" ht="69.75" customHeight="1">
      <c r="B28" s="46" t="s">
        <v>50</v>
      </c>
      <c r="C28" s="45" t="s">
        <v>51</v>
      </c>
      <c r="D28" s="49">
        <v>70</v>
      </c>
      <c r="E28" s="52" t="s">
        <v>36</v>
      </c>
      <c r="F28" s="54"/>
      <c r="G28" s="55"/>
      <c r="H28" s="56"/>
      <c r="I28" s="13"/>
      <c r="J28" s="88">
        <v>114</v>
      </c>
      <c r="K28" s="79">
        <f>PRODUCT(D28*J28)</f>
        <v>7980</v>
      </c>
      <c r="L28" s="13"/>
      <c r="M28" s="64" t="s">
        <v>38</v>
      </c>
      <c r="N28" s="85" t="s">
        <v>38</v>
      </c>
      <c r="O28" s="13"/>
      <c r="P28" s="64">
        <v>143.75</v>
      </c>
      <c r="Q28" s="89">
        <f>PRODUCT(D28*P28)</f>
        <v>10062.5</v>
      </c>
      <c r="R28" s="13"/>
      <c r="S28" s="71"/>
      <c r="T28" s="72"/>
      <c r="U28" s="24"/>
    </row>
    <row r="29" spans="2:21" ht="69.75" customHeight="1">
      <c r="B29" s="46">
        <v>9</v>
      </c>
      <c r="C29" s="45" t="s">
        <v>52</v>
      </c>
      <c r="D29" s="49">
        <v>20</v>
      </c>
      <c r="E29" s="52" t="s">
        <v>36</v>
      </c>
      <c r="F29" s="54"/>
      <c r="G29" s="55"/>
      <c r="H29" s="56"/>
      <c r="I29" s="13"/>
      <c r="J29" s="87">
        <v>20</v>
      </c>
      <c r="K29" s="79">
        <f>PRODUCT(D29*J29)</f>
        <v>400</v>
      </c>
      <c r="L29" s="13"/>
      <c r="M29" s="64">
        <v>25</v>
      </c>
      <c r="N29" s="83">
        <f t="shared" si="2"/>
        <v>500</v>
      </c>
      <c r="O29" s="13"/>
      <c r="P29" s="64">
        <v>19</v>
      </c>
      <c r="Q29" s="83">
        <f t="shared" si="1"/>
        <v>380</v>
      </c>
      <c r="R29" s="13"/>
      <c r="S29" s="71"/>
      <c r="T29" s="72"/>
      <c r="U29" s="24"/>
    </row>
    <row r="30" spans="2:21" ht="69.75" customHeight="1">
      <c r="B30" s="46">
        <v>10</v>
      </c>
      <c r="C30" s="45" t="s">
        <v>53</v>
      </c>
      <c r="D30" s="49">
        <v>20</v>
      </c>
      <c r="E30" s="52" t="s">
        <v>36</v>
      </c>
      <c r="F30" s="54"/>
      <c r="G30" s="55"/>
      <c r="H30" s="56"/>
      <c r="I30" s="13"/>
      <c r="J30" s="84">
        <v>20</v>
      </c>
      <c r="K30" s="79">
        <f t="shared" si="0"/>
        <v>400</v>
      </c>
      <c r="L30" s="13"/>
      <c r="M30" s="64">
        <v>25</v>
      </c>
      <c r="N30" s="83">
        <f t="shared" si="2"/>
        <v>500</v>
      </c>
      <c r="O30" s="13"/>
      <c r="P30" s="64">
        <v>19</v>
      </c>
      <c r="Q30" s="83">
        <f t="shared" si="1"/>
        <v>380</v>
      </c>
      <c r="R30" s="13"/>
      <c r="S30" s="71"/>
      <c r="T30" s="72"/>
      <c r="U30" s="24"/>
    </row>
    <row r="31" spans="2:21" ht="69.75" customHeight="1">
      <c r="B31" s="38">
        <v>11</v>
      </c>
      <c r="C31" s="39" t="s">
        <v>54</v>
      </c>
      <c r="D31" s="41">
        <v>1</v>
      </c>
      <c r="E31" s="37" t="s">
        <v>36</v>
      </c>
      <c r="F31" s="40"/>
      <c r="G31" s="30"/>
      <c r="H31" s="31"/>
      <c r="J31" s="84">
        <v>500</v>
      </c>
      <c r="K31" s="82">
        <f>PRODUCT(D31*J31)</f>
        <v>500</v>
      </c>
      <c r="M31" s="63">
        <v>700</v>
      </c>
      <c r="N31" s="82">
        <f>PRODUCT(M31*D31)</f>
        <v>700</v>
      </c>
      <c r="O31" s="13"/>
      <c r="P31" s="63" t="s">
        <v>38</v>
      </c>
      <c r="Q31" s="85" t="s">
        <v>38</v>
      </c>
      <c r="R31" s="13"/>
      <c r="S31" s="73"/>
      <c r="T31" s="73"/>
      <c r="U31" s="24"/>
    </row>
    <row r="32" spans="2:21" ht="30" customHeight="1">
      <c r="H32" s="25">
        <f>SUM(H17:H31)</f>
        <v>0</v>
      </c>
      <c r="I32" s="15"/>
      <c r="J32" s="90" t="s">
        <v>55</v>
      </c>
      <c r="K32" s="91">
        <v>47987.9</v>
      </c>
      <c r="L32" s="15"/>
      <c r="M32" s="129" t="s">
        <v>55</v>
      </c>
      <c r="N32" s="131">
        <f>SUM(N17:N31)</f>
        <v>47671</v>
      </c>
      <c r="O32" s="66"/>
      <c r="P32" s="90" t="s">
        <v>55</v>
      </c>
      <c r="Q32" s="91">
        <f>SUM(Q17:Q31)</f>
        <v>46591</v>
      </c>
      <c r="R32" s="66"/>
      <c r="S32" s="74"/>
      <c r="T32" s="75"/>
      <c r="U32" s="24"/>
    </row>
    <row r="33" spans="1:21" s="2" customFormat="1" ht="35.450000000000003" customHeight="1">
      <c r="A33" s="3"/>
      <c r="B33" s="97" t="s">
        <v>56</v>
      </c>
      <c r="C33" s="98" t="s">
        <v>57</v>
      </c>
      <c r="D33" s="99"/>
      <c r="E33" s="99"/>
      <c r="F33" s="99"/>
      <c r="G33" s="99"/>
      <c r="H33" s="100"/>
      <c r="I33" s="6"/>
      <c r="J33" s="93" t="s">
        <v>58</v>
      </c>
      <c r="K33" s="92">
        <v>45588.51</v>
      </c>
      <c r="L33" s="6"/>
      <c r="M33" s="130"/>
      <c r="N33" s="132"/>
      <c r="O33" s="13"/>
      <c r="P33" s="93" t="s">
        <v>58</v>
      </c>
      <c r="Q33" s="92">
        <v>46480</v>
      </c>
      <c r="R33" s="13"/>
      <c r="S33" s="76"/>
      <c r="T33" s="75"/>
      <c r="U33" s="77"/>
    </row>
    <row r="34" spans="1:21" s="2" customFormat="1" ht="35.450000000000003" customHeight="1">
      <c r="A34" s="3"/>
      <c r="B34" s="94"/>
      <c r="C34" s="95"/>
      <c r="D34" s="95"/>
      <c r="E34" s="95"/>
      <c r="F34" s="95"/>
      <c r="G34" s="95"/>
      <c r="H34" s="95"/>
      <c r="I34" s="6"/>
      <c r="J34" s="76"/>
      <c r="K34" s="81"/>
      <c r="L34" s="13"/>
      <c r="M34" s="76"/>
      <c r="N34" s="81"/>
      <c r="O34" s="13"/>
      <c r="P34" s="76"/>
      <c r="Q34" s="75"/>
      <c r="R34" s="13"/>
      <c r="S34" s="76"/>
      <c r="T34" s="75"/>
      <c r="U34" s="77"/>
    </row>
    <row r="35" spans="1:21" ht="20.100000000000001" customHeight="1">
      <c r="B35" s="21"/>
      <c r="C35" s="70"/>
      <c r="D35" s="21"/>
      <c r="E35" s="21"/>
      <c r="F35" s="96"/>
      <c r="G35" s="21"/>
      <c r="H35" s="13"/>
      <c r="J35" s="67"/>
      <c r="K35" s="13"/>
      <c r="L35" s="13"/>
      <c r="M35" s="67"/>
      <c r="N35" s="6"/>
      <c r="O35" s="13"/>
      <c r="P35" s="67"/>
      <c r="Q35" s="13"/>
      <c r="R35" s="21"/>
      <c r="S35" s="21"/>
      <c r="T35" s="21"/>
      <c r="U35" s="24"/>
    </row>
    <row r="36" spans="1:21" ht="53.25" customHeight="1">
      <c r="J36" s="14"/>
      <c r="K36" s="6"/>
      <c r="M36" s="14"/>
      <c r="N36" s="6"/>
      <c r="O36" s="13"/>
      <c r="P36" s="67"/>
      <c r="Q36" s="13"/>
      <c r="R36" s="21"/>
      <c r="S36" s="21"/>
      <c r="T36" s="21"/>
      <c r="U36" s="24"/>
    </row>
    <row r="37" spans="1:21" ht="20.100000000000001" customHeight="1">
      <c r="J37" s="14"/>
      <c r="K37" s="6"/>
      <c r="M37" s="14"/>
      <c r="N37" s="6"/>
      <c r="P37" s="14"/>
      <c r="Q37" s="6"/>
    </row>
    <row r="38" spans="1:21" ht="20.100000000000001" customHeight="1">
      <c r="J38" s="14"/>
      <c r="K38" s="6"/>
      <c r="M38" s="14"/>
      <c r="N38" s="6"/>
      <c r="P38" s="14"/>
      <c r="Q38" s="6"/>
    </row>
    <row r="39" spans="1:21" ht="20.100000000000001" customHeight="1">
      <c r="J39" s="14"/>
      <c r="K39" s="6"/>
      <c r="M39" s="14"/>
      <c r="N39" s="6"/>
      <c r="P39" s="14"/>
      <c r="Q39" s="6"/>
    </row>
    <row r="40" spans="1:21" ht="20.100000000000001" customHeight="1">
      <c r="J40" s="14"/>
      <c r="K40" s="6"/>
      <c r="M40" s="14"/>
      <c r="N40" s="6"/>
      <c r="P40" s="14"/>
      <c r="Q40" s="6"/>
    </row>
    <row r="41" spans="1:21" ht="20.100000000000001" customHeight="1">
      <c r="J41" s="14"/>
      <c r="K41" s="6"/>
      <c r="M41" s="14"/>
      <c r="N41" s="6"/>
      <c r="P41" s="14"/>
      <c r="Q41" s="6"/>
    </row>
    <row r="42" spans="1:21" ht="20.100000000000001" customHeight="1">
      <c r="J42" s="14"/>
      <c r="K42" s="6"/>
      <c r="M42" s="14"/>
      <c r="N42" s="6"/>
      <c r="P42" s="14"/>
      <c r="Q42" s="6"/>
    </row>
    <row r="43" spans="1:21" ht="20.100000000000001" customHeight="1">
      <c r="J43" s="14"/>
      <c r="K43" s="6"/>
      <c r="M43" s="14"/>
      <c r="N43" s="6"/>
      <c r="P43" s="14"/>
      <c r="Q43" s="6"/>
    </row>
    <row r="44" spans="1:21" ht="20.100000000000001" customHeight="1">
      <c r="J44" s="14"/>
      <c r="K44" s="6"/>
      <c r="M44" s="14"/>
      <c r="N44" s="6"/>
      <c r="P44" s="14"/>
      <c r="Q44" s="6"/>
    </row>
    <row r="45" spans="1:21" ht="20.100000000000001" customHeight="1">
      <c r="J45" s="14"/>
      <c r="K45" s="6"/>
      <c r="M45" s="14"/>
      <c r="N45" s="6"/>
      <c r="P45" s="14"/>
      <c r="Q45" s="6"/>
    </row>
    <row r="46" spans="1:21" ht="20.100000000000001" customHeight="1">
      <c r="J46" s="14"/>
      <c r="K46" s="6"/>
      <c r="M46" s="14"/>
      <c r="N46" s="6"/>
      <c r="P46" s="14"/>
      <c r="Q46" s="6"/>
    </row>
    <row r="47" spans="1:21" ht="20.100000000000001" customHeight="1">
      <c r="J47" s="14"/>
      <c r="K47" s="6"/>
      <c r="M47" s="14"/>
      <c r="N47" s="6"/>
      <c r="P47" s="14"/>
      <c r="Q47" s="6"/>
    </row>
    <row r="48" spans="1:21" ht="20.100000000000001" customHeight="1">
      <c r="J48" s="14"/>
      <c r="K48" s="6"/>
      <c r="M48" s="14"/>
      <c r="N48" s="6"/>
      <c r="P48" s="14"/>
      <c r="Q48" s="6"/>
    </row>
    <row r="49" spans="3:17" ht="20.100000000000001" customHeight="1">
      <c r="J49" s="14"/>
      <c r="K49" s="6"/>
      <c r="M49" s="14"/>
      <c r="N49" s="6"/>
      <c r="P49" s="14"/>
      <c r="Q49" s="6"/>
    </row>
    <row r="50" spans="3:17" ht="20.100000000000001" customHeight="1">
      <c r="J50" s="14"/>
      <c r="K50" s="6"/>
      <c r="M50" s="14"/>
      <c r="N50" s="6"/>
      <c r="P50" s="14"/>
      <c r="Q50" s="6"/>
    </row>
    <row r="51" spans="3:17" ht="20.100000000000001" customHeight="1">
      <c r="J51" s="14"/>
      <c r="K51" s="6"/>
      <c r="M51" s="14"/>
      <c r="N51" s="6"/>
      <c r="P51" s="14"/>
      <c r="Q51" s="6"/>
    </row>
    <row r="52" spans="3:17" ht="20.100000000000001" customHeight="1">
      <c r="C52" s="3"/>
      <c r="F52" s="3"/>
      <c r="H52" s="3"/>
      <c r="J52" s="14"/>
      <c r="K52" s="6"/>
      <c r="M52" s="14"/>
      <c r="N52" s="6"/>
      <c r="P52" s="14"/>
      <c r="Q52" s="6"/>
    </row>
    <row r="53" spans="3:17" ht="20.100000000000001" customHeight="1">
      <c r="J53" s="14"/>
      <c r="K53" s="6"/>
      <c r="M53" s="14"/>
      <c r="N53" s="6"/>
      <c r="P53" s="14"/>
      <c r="Q53" s="6"/>
    </row>
  </sheetData>
  <mergeCells count="34">
    <mergeCell ref="A2:Q4"/>
    <mergeCell ref="M32:M33"/>
    <mergeCell ref="N32:N33"/>
    <mergeCell ref="B8:B9"/>
    <mergeCell ref="J6:K6"/>
    <mergeCell ref="M6:N6"/>
    <mergeCell ref="B13:B15"/>
    <mergeCell ref="C13:C15"/>
    <mergeCell ref="C10:E11"/>
    <mergeCell ref="F9:G9"/>
    <mergeCell ref="B12:H12"/>
    <mergeCell ref="C8:E9"/>
    <mergeCell ref="F8:G8"/>
    <mergeCell ref="B10:B11"/>
    <mergeCell ref="J13:K13"/>
    <mergeCell ref="F10:H11"/>
    <mergeCell ref="K14:K15"/>
    <mergeCell ref="J14:J15"/>
    <mergeCell ref="D13:D15"/>
    <mergeCell ref="E13:E15"/>
    <mergeCell ref="F13:F15"/>
    <mergeCell ref="G13:G15"/>
    <mergeCell ref="H13:H15"/>
    <mergeCell ref="S6:T6"/>
    <mergeCell ref="N14:N15"/>
    <mergeCell ref="S14:S15"/>
    <mergeCell ref="T14:T15"/>
    <mergeCell ref="S13:T13"/>
    <mergeCell ref="Q14:Q15"/>
    <mergeCell ref="M13:N13"/>
    <mergeCell ref="P13:Q13"/>
    <mergeCell ref="M14:M15"/>
    <mergeCell ref="P14:P15"/>
    <mergeCell ref="P6:Q6"/>
  </mergeCells>
  <phoneticPr fontId="0" type="noConversion"/>
  <hyperlinks>
    <hyperlink ref="K11" r:id="rId1" xr:uid="{A7CAECA8-EB20-4C18-8511-7F2C50774920}"/>
    <hyperlink ref="N11" r:id="rId2" xr:uid="{77A8194A-AA6E-4DFE-8FEB-CED15AC23D61}"/>
    <hyperlink ref="Q11" r:id="rId3" xr:uid="{A0B0CB95-30B2-4B0E-99EC-70928B1E6AE0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Width="0" orientation="landscape" horizontalDpi="4294967293" r:id="rId4"/>
  <headerFooter alignWithMargins="0">
    <oddFooter>&amp;L&amp;"Arial,Negrito"Construtora Tempo Confidencial&amp;RPágina &amp;P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Usuário Convidado</cp:lastModifiedBy>
  <cp:revision/>
  <dcterms:created xsi:type="dcterms:W3CDTF">2006-01-20T16:15:51Z</dcterms:created>
  <dcterms:modified xsi:type="dcterms:W3CDTF">2026-04-08T16:37:39Z</dcterms:modified>
  <cp:category/>
  <cp:contentStatus/>
</cp:coreProperties>
</file>