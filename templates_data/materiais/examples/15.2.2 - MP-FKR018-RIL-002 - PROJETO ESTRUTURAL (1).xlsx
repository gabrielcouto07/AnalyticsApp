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ESTEVÃO E LEONARDO\ARQUIVOS GABI\PLANILHAS\"/>
    </mc:Choice>
  </mc:AlternateContent>
  <xr:revisionPtr revIDLastSave="401" documentId="13_ncr:1_{5F56E237-6F85-4BA0-959A-CB6F98F9809C}" xr6:coauthVersionLast="47" xr6:coauthVersionMax="47" xr10:uidLastSave="{3B963B0E-86E1-43F7-A9A9-E3899ED20165}"/>
  <bookViews>
    <workbookView xWindow="-108" yWindow="-108" windowWidth="23256" windowHeight="12576" xr2:uid="{00000000-000D-0000-FFFF-FFFF00000000}"/>
  </bookViews>
  <sheets>
    <sheet name="MP" sheetId="53" r:id="rId1"/>
  </sheets>
  <definedNames>
    <definedName name="_xlnm.Print_Area" localSheetId="0">MP!$B$2:$Q$22</definedName>
    <definedName name="_xlnm.Print_Titles" localSheetId="0">MP!$2:$16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53" l="1"/>
  <c r="Q21" i="53"/>
  <c r="H9" i="53"/>
  <c r="H21" i="53"/>
  <c r="K21" i="5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<sst xmlns="http://schemas.openxmlformats.org/spreadsheetml/2006/main" count="64" uniqueCount="45">
  <si>
    <t>MAPA DE CONCORRÊNCIA</t>
  </si>
  <si>
    <t>FORNECEDOR 1</t>
  </si>
  <si>
    <t>FORNECEDOR 2</t>
  </si>
  <si>
    <t>FORNECEDOR 3</t>
  </si>
  <si>
    <t>OBRA:</t>
  </si>
  <si>
    <t>OBRA RIL - RESIDENCIA ISABELA E LUIZ RENNO</t>
  </si>
  <si>
    <t>N.º :</t>
  </si>
  <si>
    <t>02</t>
  </si>
  <si>
    <t>NOME</t>
  </si>
  <si>
    <t>CAPELÃO ENGENHARIA</t>
  </si>
  <si>
    <t>SELCO ESTUDOS E PROJETOS DE ENGENHARIA LTDA.</t>
  </si>
  <si>
    <t>MÁRCIO GONÇALVES ENGENHARIA E SERVICOS LTDA.</t>
  </si>
  <si>
    <t>DATA :</t>
  </si>
  <si>
    <t>CONTATO</t>
  </si>
  <si>
    <t>Fernanda Araújo Capelão</t>
  </si>
  <si>
    <t>Túlio Gianni Coscarelli Antonini</t>
  </si>
  <si>
    <t>Márcio José de Rezende Gonçalves</t>
  </si>
  <si>
    <t>ASSU.:</t>
  </si>
  <si>
    <t>PROJETO ESTRUTURAL</t>
  </si>
  <si>
    <t>TELEFONE</t>
  </si>
  <si>
    <t>(31) 99926-5176</t>
  </si>
  <si>
    <t>(031) 3284-9099</t>
  </si>
  <si>
    <t xml:space="preserve"> (31) 99984-5024 </t>
  </si>
  <si>
    <t>EMAIL</t>
  </si>
  <si>
    <t>Capelaoengenharia@gmail.com</t>
  </si>
  <si>
    <t>antonini.@bhterra.com.br</t>
  </si>
  <si>
    <t>marciogoncalvesengenharia@uol.com.br</t>
  </si>
  <si>
    <t>ITEM</t>
  </si>
  <si>
    <t>DESCRIÇÃO DO SERVIÇO E/OU RECURSO</t>
  </si>
  <si>
    <t>QUANT.</t>
  </si>
  <si>
    <t>UNID.</t>
  </si>
  <si>
    <t>COD.
ITEM / INSU.</t>
  </si>
  <si>
    <t>VALOR UNIT.</t>
  </si>
  <si>
    <t>SALDO TOTAL (R$)</t>
  </si>
  <si>
    <t>PREÇOS</t>
  </si>
  <si>
    <t>VALOR INICIAL</t>
  </si>
  <si>
    <t>VALOR NEGOCIADO</t>
  </si>
  <si>
    <t xml:space="preserve">Projeto de fundações: Será dimensionado e executado projeto de fundação direta nos pontos de acréscimos  ( sapata, radier 
e/ou tubulão) </t>
  </si>
  <si>
    <t>VB</t>
  </si>
  <si>
    <t>-</t>
  </si>
  <si>
    <t>Projeto de infra estrutura: Será dimensionado e executado projeto de infra estrutura contendo ( cintamento e blocos de 
coroamento) em concreto armado</t>
  </si>
  <si>
    <t>Projeto de super estrutura: Será dimensionado e executado projeto de super estrutura pilares, vigas ,lajes de piso e de forro , em 
concreto armado /estrutura metálica e reforço necessário. 
Projeto terá detalhamento e quantitativos de materiais referente a estrutura ( aço, concreto, forma)</t>
  </si>
  <si>
    <t>ENDEREÇO OBRA:</t>
  </si>
  <si>
    <t>Rua Mares de Montanha, nº 2620, Vale dos Cristais - Cidade: Nova Lima - MG.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</si>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</sst>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_);[Red]\(&quot;R$ &quot;#,##0.00\)"/>
  </numFmts>
  <fonts count="1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Franklin Gothic Medium"/>
      <family val="2"/>
    </font>
    <font>
      <sz val="16"/>
      <name val="Franklin Gothic Medium"/>
      <family val="2"/>
    </font>
    <font>
      <sz val="12"/>
      <name val="Franklin Gothic Medium"/>
      <family val="2"/>
    </font>
    <font>
      <b/>
      <i/>
      <sz val="28"/>
      <color theme="0"/>
      <name val="Franklin Gothic Medium"/>
      <family val="2"/>
    </font>
    <font>
      <sz val="14"/>
      <name val="Franklin Gothic Medium"/>
      <family val="2"/>
    </font>
    <font>
      <u/>
      <sz val="10"/>
      <color theme="10"/>
      <name val="Arial"/>
    </font>
    <font>
      <b/>
      <i/>
      <sz val="28"/>
      <color rgb="FF000000"/>
      <name val="Franklin Gothic Medium"/>
    </font>
    <font>
      <sz val="10"/>
      <color rgb="FF000000"/>
      <name val="Franklin Gothic Medium"/>
    </font>
    <font>
      <sz val="9"/>
      <color rgb="FF000000"/>
      <name val="Franklin Gothic Medium"/>
    </font>
    <font>
      <sz val="12"/>
      <color rgb="FF000000"/>
      <name val="Franklin Gothic Medium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2B298"/>
        <bgColor indexed="64"/>
      </patternFill>
    </fill>
    <fill>
      <patternFill patternType="solid">
        <fgColor rgb="FFE4EFDB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left" vertical="center"/>
    </xf>
    <xf numFmtId="0" fontId="4" fillId="0" borderId="35" xfId="0" applyFont="1" applyBorder="1" applyAlignment="1">
      <alignment horizontal="center" vertical="center"/>
    </xf>
    <xf numFmtId="1" fontId="4" fillId="0" borderId="35" xfId="0" applyNumberFormat="1" applyFont="1" applyBorder="1" applyAlignment="1">
      <alignment horizontal="center" vertical="center"/>
    </xf>
    <xf numFmtId="4" fontId="4" fillId="0" borderId="36" xfId="0" applyNumberFormat="1" applyFont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41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49" fontId="8" fillId="5" borderId="4" xfId="0" applyNumberFormat="1" applyFont="1" applyFill="1" applyBorder="1" applyAlignment="1" applyProtection="1">
      <alignment horizontal="center" vertical="center"/>
      <protection locked="0"/>
    </xf>
    <xf numFmtId="14" fontId="8" fillId="5" borderId="5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8" fillId="5" borderId="50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left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6" fillId="2" borderId="38" xfId="0" quotePrefix="1" applyFont="1" applyFill="1" applyBorder="1" applyAlignment="1">
      <alignment horizontal="center" vertical="center"/>
    </xf>
    <xf numFmtId="1" fontId="6" fillId="2" borderId="39" xfId="0" applyNumberFormat="1" applyFont="1" applyFill="1" applyBorder="1" applyAlignment="1" applyProtection="1">
      <alignment horizontal="center" vertical="center"/>
      <protection locked="0"/>
    </xf>
    <xf numFmtId="4" fontId="6" fillId="2" borderId="39" xfId="0" applyNumberFormat="1" applyFont="1" applyFill="1" applyBorder="1" applyAlignment="1" applyProtection="1">
      <alignment horizontal="center" vertical="center"/>
      <protection locked="0"/>
    </xf>
    <xf numFmtId="40" fontId="6" fillId="2" borderId="40" xfId="0" applyNumberFormat="1" applyFont="1" applyFill="1" applyBorder="1" applyAlignment="1">
      <alignment horizontal="center" vertical="center"/>
    </xf>
    <xf numFmtId="0" fontId="6" fillId="2" borderId="46" xfId="0" quotePrefix="1" applyFont="1" applyFill="1" applyBorder="1" applyAlignment="1">
      <alignment horizontal="center" vertical="center"/>
    </xf>
    <xf numFmtId="1" fontId="6" fillId="2" borderId="37" xfId="0" applyNumberFormat="1" applyFont="1" applyFill="1" applyBorder="1" applyAlignment="1" applyProtection="1">
      <alignment horizontal="center" vertical="center"/>
      <protection locked="0"/>
    </xf>
    <xf numFmtId="4" fontId="6" fillId="2" borderId="37" xfId="0" applyNumberFormat="1" applyFont="1" applyFill="1" applyBorder="1" applyAlignment="1" applyProtection="1">
      <alignment horizontal="center" vertical="center"/>
      <protection locked="0"/>
    </xf>
    <xf numFmtId="40" fontId="6" fillId="2" borderId="42" xfId="0" applyNumberFormat="1" applyFont="1" applyFill="1" applyBorder="1" applyAlignment="1">
      <alignment horizontal="center" vertical="center"/>
    </xf>
    <xf numFmtId="4" fontId="6" fillId="0" borderId="44" xfId="0" applyNumberFormat="1" applyFont="1" applyBorder="1" applyAlignment="1" applyProtection="1">
      <alignment horizontal="center" vertical="center"/>
      <protection locked="0"/>
    </xf>
    <xf numFmtId="4" fontId="6" fillId="0" borderId="45" xfId="0" applyNumberFormat="1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 vertical="center"/>
      <protection locked="0"/>
    </xf>
    <xf numFmtId="0" fontId="6" fillId="0" borderId="42" xfId="0" applyFont="1" applyBorder="1" applyAlignment="1" applyProtection="1">
      <alignment horizontal="left" vertical="center"/>
      <protection locked="0"/>
    </xf>
    <xf numFmtId="164" fontId="5" fillId="3" borderId="2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 wrapText="1"/>
    </xf>
    <xf numFmtId="0" fontId="6" fillId="0" borderId="42" xfId="0" applyFont="1" applyBorder="1" applyAlignment="1" applyProtection="1">
      <alignment vertical="center"/>
      <protection locked="0"/>
    </xf>
    <xf numFmtId="0" fontId="9" fillId="0" borderId="42" xfId="2" applyBorder="1" applyAlignment="1" applyProtection="1">
      <alignment horizontal="left" vertical="center"/>
      <protection locked="0"/>
    </xf>
    <xf numFmtId="0" fontId="11" fillId="0" borderId="42" xfId="0" applyFont="1" applyBorder="1" applyAlignment="1" applyProtection="1">
      <alignment horizontal="left" vertical="center"/>
      <protection locked="0"/>
    </xf>
    <xf numFmtId="0" fontId="9" fillId="0" borderId="45" xfId="2" applyBorder="1" applyAlignment="1" applyProtection="1">
      <alignment horizontal="left" vertical="center"/>
      <protection locked="0"/>
    </xf>
    <xf numFmtId="0" fontId="12" fillId="0" borderId="40" xfId="0" applyFont="1" applyBorder="1" applyAlignment="1" applyProtection="1">
      <alignment horizontal="left" vertical="center"/>
      <protection locked="0"/>
    </xf>
    <xf numFmtId="0" fontId="12" fillId="0" borderId="40" xfId="0" applyFont="1" applyBorder="1" applyAlignment="1" applyProtection="1">
      <alignment horizontal="left" vertical="center" wrapText="1"/>
      <protection locked="0"/>
    </xf>
    <xf numFmtId="0" fontId="13" fillId="2" borderId="37" xfId="0" applyFont="1" applyFill="1" applyBorder="1" applyAlignment="1" applyProtection="1">
      <alignment horizontal="left" vertical="center" wrapText="1"/>
      <protection locked="0"/>
    </xf>
    <xf numFmtId="0" fontId="13" fillId="2" borderId="53" xfId="0" applyFont="1" applyFill="1" applyBorder="1" applyAlignment="1" applyProtection="1">
      <alignment horizontal="left" vertical="center" wrapText="1"/>
      <protection locked="0"/>
    </xf>
    <xf numFmtId="2" fontId="6" fillId="2" borderId="54" xfId="1" applyNumberFormat="1" applyFont="1" applyFill="1" applyBorder="1" applyAlignment="1">
      <alignment horizontal="center" vertical="center" wrapText="1" shrinkToFit="1"/>
    </xf>
    <xf numFmtId="0" fontId="6" fillId="2" borderId="54" xfId="0" applyFont="1" applyFill="1" applyBorder="1" applyAlignment="1" applyProtection="1">
      <alignment horizontal="center" vertical="center"/>
      <protection locked="0"/>
    </xf>
    <xf numFmtId="0" fontId="6" fillId="2" borderId="55" xfId="0" applyFont="1" applyFill="1" applyBorder="1" applyAlignment="1" applyProtection="1">
      <alignment horizontal="center" vertical="center"/>
      <protection locked="0"/>
    </xf>
    <xf numFmtId="0" fontId="6" fillId="2" borderId="56" xfId="0" applyFont="1" applyFill="1" applyBorder="1" applyAlignment="1" applyProtection="1">
      <alignment horizontal="center" vertical="center"/>
      <protection locked="0"/>
    </xf>
    <xf numFmtId="0" fontId="6" fillId="2" borderId="57" xfId="0" quotePrefix="1" applyFont="1" applyFill="1" applyBorder="1" applyAlignment="1">
      <alignment horizontal="center" vertical="center"/>
    </xf>
    <xf numFmtId="0" fontId="13" fillId="2" borderId="58" xfId="0" applyFont="1" applyFill="1" applyBorder="1" applyAlignment="1" applyProtection="1">
      <alignment horizontal="left" vertical="center" wrapText="1"/>
      <protection locked="0"/>
    </xf>
    <xf numFmtId="1" fontId="6" fillId="0" borderId="58" xfId="0" applyNumberFormat="1" applyFont="1" applyBorder="1" applyAlignment="1" applyProtection="1">
      <alignment vertical="center"/>
      <protection locked="0"/>
    </xf>
    <xf numFmtId="2" fontId="6" fillId="2" borderId="56" xfId="1" applyNumberFormat="1" applyFont="1" applyFill="1" applyBorder="1" applyAlignment="1">
      <alignment horizontal="center" vertical="center" wrapText="1" shrinkToFit="1"/>
    </xf>
    <xf numFmtId="2" fontId="6" fillId="2" borderId="55" xfId="1" applyNumberFormat="1" applyFont="1" applyFill="1" applyBorder="1" applyAlignment="1">
      <alignment horizontal="center" vertical="center" wrapText="1" shrinkToFit="1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4" fontId="4" fillId="2" borderId="0" xfId="0" applyNumberFormat="1" applyFont="1" applyFill="1" applyAlignment="1" applyProtection="1">
      <alignment horizontal="center" vertical="center"/>
      <protection locked="0"/>
    </xf>
    <xf numFmtId="40" fontId="4" fillId="2" borderId="0" xfId="0" applyNumberFormat="1" applyFont="1" applyFill="1" applyAlignment="1">
      <alignment horizontal="center" vertical="center"/>
    </xf>
    <xf numFmtId="40" fontId="4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0" fontId="6" fillId="2" borderId="49" xfId="0" applyNumberFormat="1" applyFont="1" applyFill="1" applyBorder="1" applyAlignment="1">
      <alignment horizontal="center" vertical="center"/>
    </xf>
    <xf numFmtId="40" fontId="6" fillId="2" borderId="29" xfId="0" applyNumberFormat="1" applyFont="1" applyFill="1" applyBorder="1" applyAlignment="1">
      <alignment horizontal="center" vertical="center"/>
    </xf>
    <xf numFmtId="40" fontId="6" fillId="2" borderId="26" xfId="0" applyNumberFormat="1" applyFont="1" applyFill="1" applyBorder="1" applyAlignment="1">
      <alignment horizontal="center" vertical="center"/>
    </xf>
    <xf numFmtId="4" fontId="6" fillId="2" borderId="47" xfId="0" applyNumberFormat="1" applyFont="1" applyFill="1" applyBorder="1" applyAlignment="1" applyProtection="1">
      <alignment horizontal="center" vertical="center"/>
      <protection locked="0"/>
    </xf>
    <xf numFmtId="4" fontId="6" fillId="2" borderId="22" xfId="0" applyNumberFormat="1" applyFont="1" applyFill="1" applyBorder="1" applyAlignment="1" applyProtection="1">
      <alignment horizontal="center" vertical="center"/>
      <protection locked="0"/>
    </xf>
    <xf numFmtId="4" fontId="6" fillId="2" borderId="23" xfId="0" applyNumberFormat="1" applyFont="1" applyFill="1" applyBorder="1" applyAlignment="1" applyProtection="1">
      <alignment horizontal="center" vertical="center"/>
      <protection locked="0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0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4" fontId="8" fillId="5" borderId="9" xfId="0" applyNumberFormat="1" applyFont="1" applyFill="1" applyBorder="1" applyAlignment="1">
      <alignment horizontal="center" vertical="center"/>
    </xf>
    <xf numFmtId="4" fontId="8" fillId="5" borderId="10" xfId="0" applyNumberFormat="1" applyFont="1" applyFill="1" applyBorder="1" applyAlignment="1">
      <alignment horizontal="center" vertical="center"/>
    </xf>
    <xf numFmtId="4" fontId="8" fillId="5" borderId="11" xfId="0" applyNumberFormat="1" applyFont="1" applyFill="1" applyBorder="1" applyAlignment="1">
      <alignment horizontal="center" vertical="center"/>
    </xf>
    <xf numFmtId="4" fontId="8" fillId="5" borderId="52" xfId="0" applyNumberFormat="1" applyFont="1" applyFill="1" applyBorder="1" applyAlignment="1">
      <alignment horizontal="center" vertical="center"/>
    </xf>
    <xf numFmtId="4" fontId="8" fillId="5" borderId="33" xfId="0" applyNumberFormat="1" applyFont="1" applyFill="1" applyBorder="1" applyAlignment="1">
      <alignment horizontal="center" vertical="center"/>
    </xf>
    <xf numFmtId="4" fontId="8" fillId="5" borderId="31" xfId="0" applyNumberFormat="1" applyFont="1" applyFill="1" applyBorder="1" applyAlignment="1">
      <alignment horizontal="center" vertical="center"/>
    </xf>
    <xf numFmtId="4" fontId="6" fillId="2" borderId="22" xfId="0" quotePrefix="1" applyNumberFormat="1" applyFont="1" applyFill="1" applyBorder="1" applyAlignment="1" applyProtection="1">
      <alignment horizontal="center" vertical="center"/>
      <protection locked="0"/>
    </xf>
    <xf numFmtId="4" fontId="6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8" fillId="4" borderId="21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4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1" fontId="8" fillId="4" borderId="48" xfId="0" applyNumberFormat="1" applyFont="1" applyFill="1" applyBorder="1" applyAlignment="1">
      <alignment horizontal="center" vertical="center" wrapText="1"/>
    </xf>
    <xf numFmtId="1" fontId="8" fillId="4" borderId="19" xfId="0" applyNumberFormat="1" applyFont="1" applyFill="1" applyBorder="1" applyAlignment="1">
      <alignment horizontal="center" vertical="center" wrapText="1"/>
    </xf>
    <xf numFmtId="1" fontId="8" fillId="4" borderId="20" xfId="0" applyNumberFormat="1" applyFont="1" applyFill="1" applyBorder="1" applyAlignment="1">
      <alignment horizontal="center" vertical="center" wrapText="1"/>
    </xf>
    <xf numFmtId="4" fontId="8" fillId="4" borderId="49" xfId="0" applyNumberFormat="1" applyFont="1" applyFill="1" applyBorder="1" applyAlignment="1">
      <alignment horizontal="center" vertical="center" wrapText="1"/>
    </xf>
    <xf numFmtId="4" fontId="8" fillId="4" borderId="29" xfId="0" applyNumberFormat="1" applyFont="1" applyFill="1" applyBorder="1" applyAlignment="1">
      <alignment horizontal="center" vertical="center" wrapText="1"/>
    </xf>
    <xf numFmtId="4" fontId="8" fillId="4" borderId="26" xfId="0" applyNumberFormat="1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5" borderId="10" xfId="0" applyFont="1" applyFill="1" applyBorder="1" applyAlignment="1" applyProtection="1">
      <alignment horizontal="left" vertical="center" wrapText="1"/>
      <protection locked="0"/>
    </xf>
    <xf numFmtId="0" fontId="8" fillId="5" borderId="24" xfId="0" applyFont="1" applyFill="1" applyBorder="1" applyAlignment="1" applyProtection="1">
      <alignment horizontal="left" vertical="center" wrapText="1"/>
      <protection locked="0"/>
    </xf>
    <xf numFmtId="0" fontId="8" fillId="5" borderId="33" xfId="0" applyFont="1" applyFill="1" applyBorder="1" applyAlignment="1" applyProtection="1">
      <alignment horizontal="left" vertical="center" wrapText="1"/>
      <protection locked="0"/>
    </xf>
    <xf numFmtId="0" fontId="8" fillId="5" borderId="51" xfId="0" applyFont="1" applyFill="1" applyBorder="1" applyAlignment="1" applyProtection="1">
      <alignment horizontal="left" vertical="center" wrapText="1"/>
      <protection locked="0"/>
    </xf>
    <xf numFmtId="0" fontId="10" fillId="2" borderId="59" xfId="0" applyFont="1" applyFill="1" applyBorder="1" applyAlignment="1">
      <alignment horizontal="center" vertical="center"/>
    </xf>
    <xf numFmtId="0" fontId="10" fillId="2" borderId="60" xfId="0" applyFont="1" applyFill="1" applyBorder="1" applyAlignment="1">
      <alignment horizontal="center" vertical="center"/>
    </xf>
    <xf numFmtId="0" fontId="10" fillId="2" borderId="61" xfId="0" applyFont="1" applyFill="1" applyBorder="1" applyAlignment="1">
      <alignment horizontal="center" vertical="center"/>
    </xf>
    <xf numFmtId="0" fontId="10" fillId="2" borderId="6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63" xfId="0" applyFont="1" applyFill="1" applyBorder="1" applyAlignment="1">
      <alignment horizontal="center" vertical="center"/>
    </xf>
    <xf numFmtId="0" fontId="10" fillId="2" borderId="64" xfId="0" applyFont="1" applyFill="1" applyBorder="1" applyAlignment="1">
      <alignment horizontal="center" vertical="center"/>
    </xf>
    <xf numFmtId="0" fontId="10" fillId="2" borderId="65" xfId="0" applyFont="1" applyFill="1" applyBorder="1" applyAlignment="1">
      <alignment horizontal="center" vertical="center"/>
    </xf>
    <xf numFmtId="0" fontId="10" fillId="2" borderId="66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5" borderId="27" xfId="0" applyFont="1" applyFill="1" applyBorder="1" applyAlignment="1">
      <alignment horizontal="right" vertical="center"/>
    </xf>
    <xf numFmtId="0" fontId="8" fillId="5" borderId="28" xfId="0" applyFont="1" applyFill="1" applyBorder="1" applyAlignment="1">
      <alignment horizontal="right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 applyProtection="1">
      <alignment horizontal="left" vertical="center"/>
      <protection locked="0"/>
    </xf>
    <xf numFmtId="0" fontId="8" fillId="5" borderId="14" xfId="0" applyFont="1" applyFill="1" applyBorder="1" applyAlignment="1" applyProtection="1">
      <alignment horizontal="left" vertical="center"/>
      <protection locked="0"/>
    </xf>
    <xf numFmtId="0" fontId="8" fillId="5" borderId="12" xfId="0" applyFont="1" applyFill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 applyProtection="1">
      <alignment horizontal="left" vertical="center"/>
      <protection locked="0"/>
    </xf>
    <xf numFmtId="0" fontId="8" fillId="5" borderId="16" xfId="0" applyFont="1" applyFill="1" applyBorder="1" applyAlignment="1">
      <alignment horizontal="right" vertical="center"/>
    </xf>
    <xf numFmtId="0" fontId="8" fillId="5" borderId="17" xfId="0" applyFont="1" applyFill="1" applyBorder="1" applyAlignment="1">
      <alignment horizontal="right" vertical="center"/>
    </xf>
  </cellXfs>
  <cellStyles count="3">
    <cellStyle name="Hyperlink" xfId="2" xr:uid="{00000000-000B-0000-0000-000008000000}"/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026A2A"/>
      <color rgb="FFE4EFDB"/>
      <color rgb="FFA2B298"/>
      <color rgb="FF01342D"/>
      <color rgb="FF0B3733"/>
      <color rgb="FF028434"/>
      <color rgb="FF03C54D"/>
      <color rgb="FF01913B"/>
      <color rgb="FF027C30"/>
      <color rgb="FF016F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47625</xdr:rowOff>
    </xdr:from>
    <xdr:to>
      <xdr:col>2</xdr:col>
      <xdr:colOff>666750</xdr:colOff>
      <xdr:row>4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A024A1-E19E-4A50-A4E0-ADE224C93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7625"/>
          <a:ext cx="1743075" cy="17430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pelaoengenharia@gmail.com" TargetMode="External"/><Relationship Id="rId2" Type="http://schemas.openxmlformats.org/officeDocument/2006/relationships/hyperlink" Target="mailto:antonini.@bhterra.com.br" TargetMode="External"/><Relationship Id="rId1" Type="http://schemas.openxmlformats.org/officeDocument/2006/relationships/hyperlink" Target="mailto:marciogoncalvesengenharia@uol.com.br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1"/>
    <pageSetUpPr fitToPage="1"/>
  </sheetPr>
  <dimension ref="A1:U41"/>
  <sheetViews>
    <sheetView showGridLines="0" tabSelected="1" zoomScale="80" zoomScaleNormal="80" workbookViewId="0">
      <selection activeCell="X17" sqref="X17"/>
    </sheetView>
  </sheetViews>
  <sheetFormatPr defaultColWidth="9.140625" defaultRowHeight="20.100000000000001" customHeight="1"/>
  <cols>
    <col min="1" max="1" width="1.140625" style="3" customWidth="1"/>
    <col min="2" max="2" width="15.140625" style="3" customWidth="1"/>
    <col min="3" max="3" width="85.7109375" style="4" customWidth="1"/>
    <col min="4" max="4" width="10.7109375" style="3" customWidth="1"/>
    <col min="5" max="5" width="5.7109375" style="3" customWidth="1"/>
    <col min="6" max="6" width="10" style="5" customWidth="1"/>
    <col min="7" max="7" width="10.7109375" style="3" customWidth="1"/>
    <col min="8" max="8" width="19.5703125" style="6" customWidth="1"/>
    <col min="9" max="9" width="1.7109375" style="6" customWidth="1"/>
    <col min="10" max="10" width="18.140625" style="4" customWidth="1"/>
    <col min="11" max="11" width="28.42578125" style="3" customWidth="1"/>
    <col min="12" max="12" width="1.7109375" style="6" customWidth="1"/>
    <col min="13" max="13" width="13.28515625" style="4" customWidth="1"/>
    <col min="14" max="14" width="41.7109375" style="3" customWidth="1"/>
    <col min="15" max="15" width="1.7109375" style="6" customWidth="1"/>
    <col min="16" max="16" width="13.42578125" style="4" customWidth="1"/>
    <col min="17" max="17" width="43.28515625" style="3" customWidth="1"/>
    <col min="18" max="18" width="0.140625" style="3" hidden="1" customWidth="1"/>
    <col min="19" max="19" width="0.42578125" style="3" hidden="1" customWidth="1"/>
    <col min="20" max="20" width="0.5703125" style="3" customWidth="1"/>
    <col min="21" max="16384" width="9.140625" style="1"/>
  </cols>
  <sheetData>
    <row r="1" spans="1:21" ht="6" customHeight="1"/>
    <row r="2" spans="1:21" ht="33" customHeight="1">
      <c r="A2" s="115" t="s">
        <v>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</row>
    <row r="3" spans="1:21" ht="20.100000000000001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20"/>
    </row>
    <row r="4" spans="1:21" ht="82.15" customHeight="1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3"/>
    </row>
    <row r="5" spans="1:21" s="24" customFormat="1" ht="4.9000000000000004" customHeight="1">
      <c r="A5" s="21"/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1" ht="20.100000000000001" customHeight="1">
      <c r="B6" s="29"/>
      <c r="C6" s="30"/>
      <c r="D6" s="31"/>
      <c r="E6" s="31"/>
      <c r="F6" s="31"/>
      <c r="G6" s="31"/>
      <c r="H6" s="32"/>
      <c r="J6" s="124" t="s">
        <v>1</v>
      </c>
      <c r="K6" s="125"/>
      <c r="M6" s="124" t="s">
        <v>2</v>
      </c>
      <c r="N6" s="125"/>
      <c r="P6" s="124" t="s">
        <v>3</v>
      </c>
      <c r="Q6" s="125"/>
      <c r="R6" s="6"/>
      <c r="S6" s="128"/>
      <c r="T6" s="128"/>
      <c r="U6" s="24"/>
    </row>
    <row r="7" spans="1:21" ht="5.0999999999999996" customHeight="1">
      <c r="J7" s="3"/>
      <c r="M7" s="3"/>
      <c r="P7" s="3"/>
      <c r="R7" s="6"/>
      <c r="S7" s="21"/>
      <c r="T7" s="21"/>
      <c r="U7" s="24"/>
    </row>
    <row r="8" spans="1:21" ht="20.100000000000001" customHeight="1">
      <c r="B8" s="109" t="s">
        <v>4</v>
      </c>
      <c r="C8" s="135" t="s">
        <v>5</v>
      </c>
      <c r="D8" s="135"/>
      <c r="E8" s="136"/>
      <c r="F8" s="139" t="s">
        <v>6</v>
      </c>
      <c r="G8" s="140"/>
      <c r="H8" s="19" t="s">
        <v>7</v>
      </c>
      <c r="J8" s="16" t="s">
        <v>8</v>
      </c>
      <c r="K8" s="43" t="s">
        <v>9</v>
      </c>
      <c r="M8" s="16" t="s">
        <v>8</v>
      </c>
      <c r="N8" s="52" t="s">
        <v>10</v>
      </c>
      <c r="P8" s="16" t="s">
        <v>8</v>
      </c>
      <c r="Q8" s="53" t="s">
        <v>11</v>
      </c>
      <c r="R8" s="6"/>
      <c r="S8" s="65"/>
      <c r="T8" s="66"/>
      <c r="U8" s="24"/>
    </row>
    <row r="9" spans="1:21" ht="20.100000000000001" customHeight="1">
      <c r="B9" s="110"/>
      <c r="C9" s="137"/>
      <c r="D9" s="137"/>
      <c r="E9" s="138"/>
      <c r="F9" s="130" t="s">
        <v>12</v>
      </c>
      <c r="G9" s="131"/>
      <c r="H9" s="20">
        <f ca="1">TODAY()</f>
        <v>46108</v>
      </c>
      <c r="J9" s="17" t="s">
        <v>13</v>
      </c>
      <c r="K9" s="48" t="s">
        <v>14</v>
      </c>
      <c r="M9" s="17" t="s">
        <v>13</v>
      </c>
      <c r="N9" s="50" t="s">
        <v>15</v>
      </c>
      <c r="P9" s="17" t="s">
        <v>13</v>
      </c>
      <c r="Q9" s="48" t="s">
        <v>16</v>
      </c>
      <c r="R9" s="6"/>
      <c r="S9" s="65"/>
      <c r="T9" s="66"/>
      <c r="U9" s="24"/>
    </row>
    <row r="10" spans="1:21" ht="20.100000000000001" customHeight="1">
      <c r="B10" s="84" t="s">
        <v>17</v>
      </c>
      <c r="C10" s="111" t="s">
        <v>18</v>
      </c>
      <c r="D10" s="111"/>
      <c r="E10" s="112"/>
      <c r="F10" s="88"/>
      <c r="G10" s="89"/>
      <c r="H10" s="90"/>
      <c r="J10" s="17" t="s">
        <v>19</v>
      </c>
      <c r="K10" s="44" t="s">
        <v>20</v>
      </c>
      <c r="M10" s="17" t="s">
        <v>19</v>
      </c>
      <c r="N10" s="44" t="s">
        <v>21</v>
      </c>
      <c r="P10" s="17" t="s">
        <v>19</v>
      </c>
      <c r="Q10" s="44" t="s">
        <v>22</v>
      </c>
      <c r="R10" s="6"/>
      <c r="S10" s="65"/>
      <c r="T10" s="66"/>
      <c r="U10" s="24"/>
    </row>
    <row r="11" spans="1:21" ht="20.100000000000001" customHeight="1">
      <c r="B11" s="85"/>
      <c r="C11" s="113"/>
      <c r="D11" s="113"/>
      <c r="E11" s="114"/>
      <c r="F11" s="91"/>
      <c r="G11" s="92"/>
      <c r="H11" s="93"/>
      <c r="J11" s="18" t="s">
        <v>23</v>
      </c>
      <c r="K11" s="49" t="s">
        <v>24</v>
      </c>
      <c r="M11" s="18" t="s">
        <v>23</v>
      </c>
      <c r="N11" s="51" t="s">
        <v>25</v>
      </c>
      <c r="P11" s="18" t="s">
        <v>23</v>
      </c>
      <c r="Q11" s="51" t="s">
        <v>26</v>
      </c>
      <c r="R11" s="6"/>
      <c r="S11" s="65"/>
      <c r="T11" s="66"/>
      <c r="U11" s="24"/>
    </row>
    <row r="12" spans="1:21" ht="5.0999999999999996" customHeight="1">
      <c r="B12" s="132"/>
      <c r="C12" s="133"/>
      <c r="D12" s="133"/>
      <c r="E12" s="133"/>
      <c r="F12" s="133"/>
      <c r="G12" s="133"/>
      <c r="H12" s="134"/>
      <c r="K12" s="4"/>
      <c r="N12" s="4"/>
      <c r="Q12" s="4"/>
      <c r="R12" s="6"/>
      <c r="S12" s="67"/>
      <c r="T12" s="67"/>
      <c r="U12" s="24"/>
    </row>
    <row r="13" spans="1:21" ht="20.100000000000001" customHeight="1">
      <c r="B13" s="107" t="s">
        <v>27</v>
      </c>
      <c r="C13" s="98" t="s">
        <v>28</v>
      </c>
      <c r="D13" s="98" t="s">
        <v>29</v>
      </c>
      <c r="E13" s="98" t="s">
        <v>30</v>
      </c>
      <c r="F13" s="101" t="s">
        <v>31</v>
      </c>
      <c r="G13" s="98" t="s">
        <v>32</v>
      </c>
      <c r="H13" s="104" t="s">
        <v>33</v>
      </c>
      <c r="I13" s="7"/>
      <c r="J13" s="86" t="s">
        <v>34</v>
      </c>
      <c r="K13" s="87"/>
      <c r="L13" s="7"/>
      <c r="M13" s="86" t="s">
        <v>34</v>
      </c>
      <c r="N13" s="87"/>
      <c r="O13" s="7"/>
      <c r="P13" s="86" t="s">
        <v>34</v>
      </c>
      <c r="Q13" s="87"/>
      <c r="R13" s="7"/>
      <c r="S13" s="129"/>
      <c r="T13" s="129"/>
      <c r="U13" s="24"/>
    </row>
    <row r="14" spans="1:21" ht="20.100000000000001" customHeight="1">
      <c r="B14" s="108"/>
      <c r="C14" s="99"/>
      <c r="D14" s="99"/>
      <c r="E14" s="99"/>
      <c r="F14" s="102"/>
      <c r="G14" s="99"/>
      <c r="H14" s="105"/>
      <c r="I14" s="7"/>
      <c r="J14" s="96" t="s">
        <v>35</v>
      </c>
      <c r="K14" s="126" t="s">
        <v>36</v>
      </c>
      <c r="L14" s="7"/>
      <c r="M14" s="96" t="s">
        <v>35</v>
      </c>
      <c r="N14" s="126" t="s">
        <v>36</v>
      </c>
      <c r="O14" s="7"/>
      <c r="P14" s="96" t="s">
        <v>35</v>
      </c>
      <c r="Q14" s="126" t="s">
        <v>36</v>
      </c>
      <c r="R14" s="7"/>
      <c r="S14" s="129"/>
      <c r="T14" s="129"/>
      <c r="U14" s="24"/>
    </row>
    <row r="15" spans="1:21" ht="20.100000000000001" customHeight="1">
      <c r="B15" s="97"/>
      <c r="C15" s="100"/>
      <c r="D15" s="100"/>
      <c r="E15" s="100"/>
      <c r="F15" s="103"/>
      <c r="G15" s="100"/>
      <c r="H15" s="106"/>
      <c r="I15" s="7"/>
      <c r="J15" s="97"/>
      <c r="K15" s="127"/>
      <c r="L15" s="7"/>
      <c r="M15" s="97"/>
      <c r="N15" s="127"/>
      <c r="O15" s="7"/>
      <c r="P15" s="97"/>
      <c r="Q15" s="127"/>
      <c r="R15" s="7"/>
      <c r="S15" s="129"/>
      <c r="T15" s="129"/>
      <c r="U15" s="24"/>
    </row>
    <row r="16" spans="1:21" ht="5.0999999999999996" customHeight="1">
      <c r="B16" s="8"/>
      <c r="C16" s="9"/>
      <c r="D16" s="10"/>
      <c r="E16" s="10"/>
      <c r="F16" s="11"/>
      <c r="G16" s="10"/>
      <c r="H16" s="12"/>
      <c r="J16" s="3"/>
      <c r="M16" s="3"/>
      <c r="P16" s="3"/>
      <c r="R16" s="6"/>
      <c r="S16" s="21"/>
      <c r="T16" s="21"/>
      <c r="U16" s="24"/>
    </row>
    <row r="17" spans="1:21" ht="96.75" customHeight="1">
      <c r="B17" s="33">
        <v>1</v>
      </c>
      <c r="C17" s="54" t="s">
        <v>37</v>
      </c>
      <c r="D17" s="56">
        <v>1</v>
      </c>
      <c r="E17" s="57" t="s">
        <v>38</v>
      </c>
      <c r="F17" s="34"/>
      <c r="G17" s="35"/>
      <c r="H17" s="36"/>
      <c r="I17" s="13"/>
      <c r="J17" s="78">
        <v>23238.959999999999</v>
      </c>
      <c r="K17" s="75" t="s">
        <v>39</v>
      </c>
      <c r="L17" s="13"/>
      <c r="M17" s="78">
        <v>64000</v>
      </c>
      <c r="N17" s="75">
        <v>59000</v>
      </c>
      <c r="O17" s="13"/>
      <c r="P17" s="78">
        <v>87800</v>
      </c>
      <c r="Q17" s="75" t="s">
        <v>39</v>
      </c>
      <c r="R17" s="13"/>
      <c r="S17" s="68"/>
      <c r="T17" s="69"/>
      <c r="U17" s="24"/>
    </row>
    <row r="18" spans="1:21" ht="62.25" customHeight="1">
      <c r="B18" s="37">
        <v>2</v>
      </c>
      <c r="C18" s="54" t="s">
        <v>40</v>
      </c>
      <c r="D18" s="64">
        <v>1</v>
      </c>
      <c r="E18" s="58" t="s">
        <v>38</v>
      </c>
      <c r="F18" s="38"/>
      <c r="G18" s="39"/>
      <c r="H18" s="40"/>
      <c r="I18" s="13"/>
      <c r="J18" s="79"/>
      <c r="K18" s="76"/>
      <c r="L18" s="13"/>
      <c r="M18" s="94"/>
      <c r="N18" s="76"/>
      <c r="O18" s="13"/>
      <c r="P18" s="79"/>
      <c r="Q18" s="76"/>
      <c r="R18" s="13"/>
      <c r="S18" s="68"/>
      <c r="T18" s="69"/>
      <c r="U18" s="24"/>
    </row>
    <row r="19" spans="1:21" ht="85.5" customHeight="1">
      <c r="A19" s="3" t="e" vm="1">
        <v>#VALUE!</v>
      </c>
      <c r="B19" s="37">
        <v>3</v>
      </c>
      <c r="C19" s="55" t="s">
        <v>41</v>
      </c>
      <c r="D19" s="64">
        <v>1</v>
      </c>
      <c r="E19" s="58" t="s">
        <v>38</v>
      </c>
      <c r="F19" s="38"/>
      <c r="G19" s="39"/>
      <c r="H19" s="40"/>
      <c r="I19" s="13"/>
      <c r="J19" s="79"/>
      <c r="K19" s="76"/>
      <c r="L19" s="13"/>
      <c r="M19" s="94"/>
      <c r="N19" s="76"/>
      <c r="O19" s="13"/>
      <c r="P19" s="79"/>
      <c r="Q19" s="76"/>
      <c r="R19" s="13"/>
      <c r="S19" s="68"/>
      <c r="T19" s="69"/>
      <c r="U19" s="24"/>
    </row>
    <row r="20" spans="1:21" ht="43.5" customHeight="1">
      <c r="B20" s="60"/>
      <c r="C20" s="61"/>
      <c r="D20" s="63"/>
      <c r="E20" s="59"/>
      <c r="F20" s="62"/>
      <c r="G20" s="41"/>
      <c r="H20" s="42"/>
      <c r="J20" s="80"/>
      <c r="K20" s="77"/>
      <c r="M20" s="95"/>
      <c r="N20" s="77"/>
      <c r="P20" s="80"/>
      <c r="Q20" s="77"/>
      <c r="R20" s="6"/>
      <c r="S20" s="70"/>
      <c r="T20" s="70"/>
      <c r="U20" s="24"/>
    </row>
    <row r="21" spans="1:21" ht="30" customHeight="1">
      <c r="H21" s="28">
        <f>SUM(H17:H20)</f>
        <v>0</v>
      </c>
      <c r="I21" s="15"/>
      <c r="J21" s="25"/>
      <c r="K21" s="26">
        <f>SUM(K17:K20)</f>
        <v>0</v>
      </c>
      <c r="L21" s="15"/>
      <c r="M21" s="25"/>
      <c r="N21" s="45">
        <f>+N17</f>
        <v>59000</v>
      </c>
      <c r="O21" s="15"/>
      <c r="P21" s="25"/>
      <c r="Q21" s="45">
        <f>+P17</f>
        <v>87800</v>
      </c>
      <c r="R21" s="15"/>
      <c r="S21" s="71"/>
      <c r="T21" s="72"/>
      <c r="U21" s="24"/>
    </row>
    <row r="22" spans="1:21" s="2" customFormat="1" ht="35.450000000000003" customHeight="1">
      <c r="A22" s="3"/>
      <c r="B22" s="47" t="s">
        <v>42</v>
      </c>
      <c r="C22" s="81" t="s">
        <v>43</v>
      </c>
      <c r="D22" s="82"/>
      <c r="E22" s="82"/>
      <c r="F22" s="82"/>
      <c r="G22" s="82"/>
      <c r="H22" s="83"/>
      <c r="I22" s="6"/>
      <c r="J22" s="27" t="s">
        <v>44</v>
      </c>
      <c r="K22" s="46"/>
      <c r="L22" s="6"/>
      <c r="M22" s="27" t="s">
        <v>44</v>
      </c>
      <c r="N22" s="46"/>
      <c r="O22" s="6"/>
      <c r="P22" s="27" t="s">
        <v>44</v>
      </c>
      <c r="Q22" s="46"/>
      <c r="R22" s="6"/>
      <c r="S22" s="73"/>
      <c r="T22" s="72"/>
      <c r="U22" s="74"/>
    </row>
    <row r="23" spans="1:21" ht="20.100000000000001" customHeight="1">
      <c r="J23" s="14"/>
      <c r="K23" s="6"/>
      <c r="M23" s="14"/>
      <c r="N23" s="6"/>
      <c r="P23" s="14"/>
      <c r="Q23" s="6"/>
      <c r="S23" s="21"/>
      <c r="T23" s="21"/>
      <c r="U23" s="24"/>
    </row>
    <row r="24" spans="1:21" ht="53.25" customHeight="1">
      <c r="J24" s="14"/>
      <c r="K24" s="6"/>
      <c r="M24" s="14"/>
      <c r="N24" s="6"/>
      <c r="P24" s="14"/>
      <c r="Q24" s="6"/>
      <c r="S24" s="21"/>
      <c r="T24" s="21"/>
      <c r="U24" s="24"/>
    </row>
    <row r="25" spans="1:21" ht="20.100000000000001" customHeight="1">
      <c r="J25" s="14"/>
      <c r="K25" s="6"/>
      <c r="M25" s="14"/>
      <c r="N25" s="6"/>
      <c r="P25" s="14"/>
      <c r="Q25" s="6"/>
    </row>
    <row r="26" spans="1:21" ht="20.100000000000001" customHeight="1">
      <c r="J26" s="14"/>
      <c r="K26" s="6"/>
      <c r="M26" s="14"/>
      <c r="N26" s="6"/>
      <c r="P26" s="14"/>
      <c r="Q26" s="6"/>
    </row>
    <row r="27" spans="1:21" ht="20.100000000000001" customHeight="1">
      <c r="J27" s="14"/>
      <c r="K27" s="6"/>
      <c r="M27" s="14"/>
      <c r="N27" s="6"/>
      <c r="P27" s="14"/>
      <c r="Q27" s="6"/>
    </row>
    <row r="28" spans="1:21" ht="20.100000000000001" customHeight="1">
      <c r="J28" s="14"/>
      <c r="K28" s="6"/>
      <c r="M28" s="14"/>
      <c r="N28" s="6"/>
      <c r="P28" s="14"/>
      <c r="Q28" s="6"/>
    </row>
    <row r="29" spans="1:21" ht="20.100000000000001" customHeight="1">
      <c r="J29" s="14"/>
      <c r="K29" s="6"/>
      <c r="M29" s="14"/>
      <c r="N29" s="6"/>
      <c r="P29" s="14"/>
      <c r="Q29" s="6"/>
    </row>
    <row r="30" spans="1:21" ht="20.100000000000001" customHeight="1">
      <c r="J30" s="14"/>
      <c r="K30" s="6"/>
      <c r="M30" s="14"/>
      <c r="N30" s="6"/>
      <c r="P30" s="14"/>
      <c r="Q30" s="6"/>
    </row>
    <row r="31" spans="1:21" ht="20.100000000000001" customHeight="1">
      <c r="J31" s="14"/>
      <c r="K31" s="6"/>
      <c r="M31" s="14"/>
      <c r="N31" s="6"/>
      <c r="P31" s="14"/>
      <c r="Q31" s="6"/>
    </row>
    <row r="32" spans="1:21" ht="20.100000000000001" customHeight="1">
      <c r="J32" s="14"/>
      <c r="K32" s="6"/>
      <c r="M32" s="14"/>
      <c r="N32" s="6"/>
      <c r="P32" s="14"/>
      <c r="Q32" s="6"/>
    </row>
    <row r="33" spans="3:17" ht="20.100000000000001" customHeight="1">
      <c r="J33" s="14"/>
      <c r="K33" s="6"/>
      <c r="M33" s="14"/>
      <c r="N33" s="6"/>
      <c r="P33" s="14"/>
      <c r="Q33" s="6"/>
    </row>
    <row r="34" spans="3:17" ht="20.100000000000001" customHeight="1">
      <c r="J34" s="14"/>
      <c r="K34" s="6"/>
      <c r="M34" s="14"/>
      <c r="N34" s="6"/>
      <c r="P34" s="14"/>
      <c r="Q34" s="6"/>
    </row>
    <row r="35" spans="3:17" ht="20.100000000000001" customHeight="1">
      <c r="J35" s="14"/>
      <c r="K35" s="6"/>
      <c r="M35" s="14"/>
      <c r="N35" s="6"/>
      <c r="P35" s="14"/>
      <c r="Q35" s="6"/>
    </row>
    <row r="36" spans="3:17" ht="20.100000000000001" customHeight="1">
      <c r="J36" s="14"/>
      <c r="K36" s="6"/>
      <c r="M36" s="14"/>
      <c r="N36" s="6"/>
      <c r="P36" s="14"/>
      <c r="Q36" s="6"/>
    </row>
    <row r="37" spans="3:17" ht="20.100000000000001" customHeight="1">
      <c r="J37" s="14"/>
      <c r="K37" s="6"/>
      <c r="M37" s="14"/>
      <c r="N37" s="6"/>
      <c r="P37" s="14"/>
      <c r="Q37" s="6"/>
    </row>
    <row r="38" spans="3:17" ht="20.100000000000001" customHeight="1">
      <c r="J38" s="14"/>
      <c r="K38" s="6"/>
      <c r="M38" s="14"/>
      <c r="N38" s="6"/>
      <c r="P38" s="14"/>
      <c r="Q38" s="6"/>
    </row>
    <row r="39" spans="3:17" ht="20.100000000000001" customHeight="1">
      <c r="J39" s="14"/>
      <c r="K39" s="6"/>
      <c r="M39" s="14"/>
      <c r="N39" s="6"/>
      <c r="P39" s="14"/>
      <c r="Q39" s="6"/>
    </row>
    <row r="40" spans="3:17" ht="20.100000000000001" customHeight="1">
      <c r="C40" s="3"/>
      <c r="F40" s="3"/>
      <c r="H40" s="3"/>
      <c r="J40" s="14"/>
      <c r="K40" s="6"/>
      <c r="M40" s="14"/>
      <c r="N40" s="6"/>
      <c r="P40" s="14"/>
      <c r="Q40" s="6"/>
    </row>
    <row r="41" spans="3:17" ht="20.100000000000001" customHeight="1">
      <c r="J41" s="14"/>
      <c r="K41" s="6"/>
      <c r="M41" s="14"/>
      <c r="N41" s="6"/>
      <c r="P41" s="14"/>
      <c r="Q41" s="6"/>
    </row>
  </sheetData>
  <mergeCells count="39">
    <mergeCell ref="A2:T4"/>
    <mergeCell ref="J6:K6"/>
    <mergeCell ref="K14:K15"/>
    <mergeCell ref="M6:N6"/>
    <mergeCell ref="P6:Q6"/>
    <mergeCell ref="S6:T6"/>
    <mergeCell ref="N14:N15"/>
    <mergeCell ref="S14:S15"/>
    <mergeCell ref="T14:T15"/>
    <mergeCell ref="S13:T13"/>
    <mergeCell ref="F9:G9"/>
    <mergeCell ref="Q14:Q15"/>
    <mergeCell ref="M13:N13"/>
    <mergeCell ref="B12:H12"/>
    <mergeCell ref="C8:E9"/>
    <mergeCell ref="F8:G8"/>
    <mergeCell ref="B8:B9"/>
    <mergeCell ref="C10:E11"/>
    <mergeCell ref="P13:Q13"/>
    <mergeCell ref="M14:M15"/>
    <mergeCell ref="P14:P15"/>
    <mergeCell ref="C22:H22"/>
    <mergeCell ref="B10:B11"/>
    <mergeCell ref="J13:K13"/>
    <mergeCell ref="F10:H11"/>
    <mergeCell ref="M17:M20"/>
    <mergeCell ref="J14:J15"/>
    <mergeCell ref="D13:D15"/>
    <mergeCell ref="E13:E15"/>
    <mergeCell ref="F13:F15"/>
    <mergeCell ref="G13:G15"/>
    <mergeCell ref="H13:H15"/>
    <mergeCell ref="B13:B15"/>
    <mergeCell ref="C13:C15"/>
    <mergeCell ref="N17:N20"/>
    <mergeCell ref="P17:P20"/>
    <mergeCell ref="Q17:Q20"/>
    <mergeCell ref="J17:J20"/>
    <mergeCell ref="K17:K20"/>
  </mergeCells>
  <phoneticPr fontId="0" type="noConversion"/>
  <hyperlinks>
    <hyperlink ref="Q11" r:id="rId1" xr:uid="{A5D72B9D-0187-4F82-81A2-8C8C208AF229}"/>
    <hyperlink ref="N11" r:id="rId2" xr:uid="{459E2984-74CC-46AE-820D-C364BC7E64C2}"/>
    <hyperlink ref="K11" r:id="rId3" xr:uid="{25BD9371-7652-4E59-82CF-1C3FFD3B803F}"/>
  </hyperlinks>
  <printOptions horizontalCentered="1"/>
  <pageMargins left="0.39370078740157483" right="0.39370078740157483" top="0.59055118110236227" bottom="0.98425196850393704" header="0.51181102362204722" footer="0.51181102362204722"/>
  <pageSetup paperSize="9" scale="62" fitToHeight="0" orientation="landscape" horizontalDpi="4294967293" r:id="rId4"/>
  <headerFooter alignWithMargins="0">
    <oddFooter>&amp;L&amp;"Arial,Negrito"Construtora Tempo Confidencial&amp;RPágina &amp;P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Construtora Tempo</dc:title>
  <dc:subject/>
  <dc:creator>Frederico Antonio</dc:creator>
  <cp:keywords/>
  <dc:description/>
  <cp:lastModifiedBy>andre.birchal@farkasconstrutora.com.br</cp:lastModifiedBy>
  <cp:revision/>
  <dcterms:created xsi:type="dcterms:W3CDTF">2006-01-20T16:15:51Z</dcterms:created>
  <dcterms:modified xsi:type="dcterms:W3CDTF">2026-03-27T14:35:30Z</dcterms:modified>
  <cp:category/>
  <cp:contentStatus/>
</cp:coreProperties>
</file>